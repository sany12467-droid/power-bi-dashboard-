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ech Farazi\Documents\"/>
    </mc:Choice>
  </mc:AlternateContent>
  <xr:revisionPtr revIDLastSave="0" documentId="8_{FB9FDA42-E786-4723-AA2B-A7666021FB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</calcChain>
</file>

<file path=xl/sharedStrings.xml><?xml version="1.0" encoding="utf-8"?>
<sst xmlns="http://schemas.openxmlformats.org/spreadsheetml/2006/main" count="14" uniqueCount="13">
  <si>
    <t>Date</t>
  </si>
  <si>
    <t>Open</t>
  </si>
  <si>
    <t>High</t>
  </si>
  <si>
    <t>Low</t>
  </si>
  <si>
    <t>Close</t>
  </si>
  <si>
    <t>Adj. Close</t>
  </si>
  <si>
    <t>Change</t>
  </si>
  <si>
    <t>Volume</t>
  </si>
  <si>
    <t>-</t>
  </si>
  <si>
    <t>quarter</t>
  </si>
  <si>
    <t>month</t>
  </si>
  <si>
    <t>day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</si>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</sst>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09]d\-m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111827"/>
      <name val="Times New Roman"/>
      <family val="1"/>
    </font>
    <font>
      <sz val="11"/>
      <color rgb="FF111827"/>
      <name val="Arial"/>
      <family val="2"/>
    </font>
    <font>
      <sz val="11"/>
      <color rgb="FF15803D"/>
      <name val="Arial"/>
      <family val="2"/>
    </font>
    <font>
      <sz val="11"/>
      <color rgb="FFDC2626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7F8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E5E7EB"/>
      </top>
      <bottom style="medium">
        <color rgb="FFE5E7EB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E5E7EB"/>
      </bottom>
      <diagonal/>
    </border>
  </borders>
  <cellStyleXfs count="1">
    <xf numFmtId="0" fontId="0" fillId="0" borderId="0"/>
  </cellStyleXfs>
  <cellXfs count="22">
    <xf numFmtId="0" fontId="0" fillId="0" borderId="0" xfId="0"/>
    <xf numFmtId="169" fontId="0" fillId="0" borderId="0" xfId="0" applyNumberFormat="1"/>
    <xf numFmtId="0" fontId="1" fillId="0" borderId="0" xfId="0" applyFont="1" applyAlignment="1">
      <alignment horizontal="center"/>
    </xf>
    <xf numFmtId="169" fontId="2" fillId="3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69" fontId="3" fillId="4" borderId="3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10" fontId="4" fillId="4" borderId="4" xfId="0" applyNumberFormat="1" applyFont="1" applyFill="1" applyBorder="1" applyAlignment="1">
      <alignment horizontal="center"/>
    </xf>
    <xf numFmtId="3" fontId="3" fillId="4" borderId="4" xfId="0" applyNumberFormat="1" applyFont="1" applyFill="1" applyBorder="1" applyAlignment="1">
      <alignment horizontal="center"/>
    </xf>
    <xf numFmtId="169" fontId="3" fillId="3" borderId="3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10" fontId="4" fillId="3" borderId="4" xfId="0" applyNumberFormat="1" applyFont="1" applyFill="1" applyBorder="1" applyAlignment="1">
      <alignment horizontal="center"/>
    </xf>
    <xf numFmtId="3" fontId="3" fillId="3" borderId="4" xfId="0" applyNumberFormat="1" applyFont="1" applyFill="1" applyBorder="1" applyAlignment="1">
      <alignment horizontal="center"/>
    </xf>
    <xf numFmtId="10" fontId="5" fillId="4" borderId="4" xfId="0" applyNumberFormat="1" applyFont="1" applyFill="1" applyBorder="1" applyAlignment="1">
      <alignment horizontal="center"/>
    </xf>
    <xf numFmtId="10" fontId="5" fillId="3" borderId="4" xfId="0" applyNumberFormat="1" applyFont="1" applyFill="1" applyBorder="1" applyAlignment="1">
      <alignment horizontal="center"/>
    </xf>
    <xf numFmtId="0" fontId="0" fillId="2" borderId="0" xfId="0" applyFill="1"/>
    <xf numFmtId="0" fontId="2" fillId="3" borderId="0" xfId="0" applyFont="1" applyFill="1" applyBorder="1" applyAlignment="1">
      <alignment horizontal="center"/>
    </xf>
    <xf numFmtId="3" fontId="3" fillId="4" borderId="0" xfId="0" applyNumberFormat="1" applyFont="1" applyFill="1" applyBorder="1" applyAlignment="1">
      <alignment horizontal="center"/>
    </xf>
    <xf numFmtId="3" fontId="3" fillId="3" borderId="0" xfId="0" applyNumberFormat="1" applyFont="1" applyFill="1" applyBorder="1" applyAlignment="1">
      <alignment horizontal="center"/>
    </xf>
    <xf numFmtId="169" fontId="2" fillId="3" borderId="0" xfId="0" applyNumberFormat="1" applyFont="1" applyFill="1" applyBorder="1" applyAlignment="1">
      <alignment horizontal="center"/>
    </xf>
    <xf numFmtId="169" fontId="3" fillId="4" borderId="0" xfId="0" applyNumberFormat="1" applyFont="1" applyFill="1" applyBorder="1" applyAlignment="1">
      <alignment horizontal="center"/>
    </xf>
    <xf numFmtId="169" fontId="3" fillId="3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family val="2"/>
        <scheme val="none"/>
      </font>
      <numFmt numFmtId="169" formatCode="[$-409]d\-mmm\-yy;@"/>
      <fill>
        <patternFill patternType="solid">
          <fgColor indexed="64"/>
          <bgColor rgb="FFF6F7F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family val="2"/>
        <scheme val="none"/>
      </font>
      <numFmt numFmtId="169" formatCode="[$-409]d\-mmm\-yy;@"/>
      <fill>
        <patternFill patternType="solid">
          <fgColor indexed="64"/>
          <bgColor rgb="FFF6F7F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family val="2"/>
        <scheme val="none"/>
      </font>
      <numFmt numFmtId="169" formatCode="[$-409]d\-mmm\-yy;@"/>
      <fill>
        <patternFill patternType="solid">
          <fgColor indexed="64"/>
          <bgColor rgb="FFF6F7F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family val="2"/>
        <scheme val="none"/>
      </font>
      <numFmt numFmtId="169" formatCode="[$-409]d\-mmm\-yy;@"/>
      <fill>
        <patternFill patternType="solid">
          <fgColor indexed="64"/>
          <bgColor rgb="FFF6F7F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family val="2"/>
        <scheme val="none"/>
      </font>
      <numFmt numFmtId="3" formatCode="#,##0"/>
      <fill>
        <patternFill patternType="solid">
          <fgColor indexed="64"/>
          <bgColor rgb="FFF6F7F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rgb="FFE5E7EB"/>
        </bottom>
      </border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rgb="FFE5E7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rgb="FFE5E7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rgb="FFE5E7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rgb="FFE5E7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rgb="FFE5E7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family val="2"/>
        <scheme val="none"/>
      </font>
      <numFmt numFmtId="169" formatCode="[$-409]d\-mmm\-yy;@"/>
      <fill>
        <patternFill patternType="solid">
          <fgColor indexed="64"/>
          <bgColor rgb="FFF6F7F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31ABB0-73C5-4BB0-9C8F-51137343A564}" name="Table1" displayName="Table1" ref="A1:L238" totalsRowShown="0" headerRowDxfId="13" dataDxfId="12">
  <autoFilter ref="A1:L238" xr:uid="{B431ABB0-73C5-4BB0-9C8F-51137343A564}"/>
  <tableColumns count="12">
    <tableColumn id="1" xr3:uid="{D0DB2085-D6B6-42DA-AAD6-D09D24955877}" name="Date" dataDxfId="11"/>
    <tableColumn id="9" xr3:uid="{F2381D14-A55F-453B-B5FE-5170CF240BC0}" name="day" dataDxfId="3">
      <calculatedColumnFormula>TEXT(Table1[[#This Row],[Date]],"dddd")</calculatedColumnFormula>
    </tableColumn>
    <tableColumn id="10" xr3:uid="{FECE18EA-BBC2-4CE3-A78A-4D28E74DBF68}" name="month" dataDxfId="2">
      <calculatedColumnFormula>TEXT(Table1[[#This Row],[Date]],"mmmm")</calculatedColumnFormula>
    </tableColumn>
    <tableColumn id="11" xr3:uid="{6878FEB4-5857-4F29-87A7-B018506AAB3E}" name="quarter" dataDxfId="1">
      <calculatedColumnFormula>"Q"&amp;ROUNDUP(MONTH(Table1[[#This Row],[Date]])/3,0)</calculatedColumnFormula>
    </tableColumn>
    <tableColumn id="12" xr3:uid="{51672246-332B-4E4A-891B-E603889D7C67}" name="year" dataDxfId="0">
      <calculatedColumnFormula>TEXT(Table1[[#This Row],[Date]],"yyyy")</calculatedColumnFormula>
    </tableColumn>
    <tableColumn id="2" xr3:uid="{713590DA-F5A2-44FA-9AA6-DFF7A0C8341B}" name="Open" dataDxfId="10"/>
    <tableColumn id="3" xr3:uid="{A95F1679-7A8E-4F78-A6DC-8FCEA0F9C127}" name="High" dataDxfId="9"/>
    <tableColumn id="4" xr3:uid="{193F4E23-856D-4DEA-9B08-7824EC159141}" name="Low" dataDxfId="8"/>
    <tableColumn id="5" xr3:uid="{1E6227F8-BD6E-4C0F-B2C7-FF231F6057B9}" name="Close" dataDxfId="7"/>
    <tableColumn id="6" xr3:uid="{21ED33CF-8F6B-4871-91E2-63766F3EFEF5}" name="Adj. Close" dataDxfId="6"/>
    <tableColumn id="7" xr3:uid="{4DF7B845-8FF0-47D6-B6B0-7E1F234E2BD3}" name="Change" dataDxfId="5"/>
    <tableColumn id="8" xr3:uid="{2B627522-F156-4346-B7EB-F9B99F0ABE42}" name="Volume" dataDxfId="4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9204B-E22B-4B4A-8D40-46DA24140A08}">
  <dimension ref="A1:Q238"/>
  <sheetViews>
    <sheetView tabSelected="1" workbookViewId="0">
      <selection activeCell="N10" sqref="N10"/>
    </sheetView>
  </sheetViews>
  <sheetFormatPr defaultRowHeight="14.5" x14ac:dyDescent="0.35"/>
  <cols>
    <col min="1" max="1" width="13.1796875" style="1" bestFit="1" customWidth="1"/>
    <col min="2" max="5" width="13.1796875" style="1" customWidth="1"/>
    <col min="6" max="6" width="9.453125" customWidth="1"/>
    <col min="7" max="7" width="8.453125" customWidth="1"/>
    <col min="8" max="8" width="8.26953125" bestFit="1" customWidth="1"/>
    <col min="9" max="9" width="9.6328125" customWidth="1"/>
    <col min="10" max="10" width="15.26953125" customWidth="1"/>
    <col min="11" max="11" width="12.26953125" customWidth="1"/>
    <col min="12" max="12" width="12.6328125" bestFit="1" customWidth="1"/>
    <col min="13" max="15" width="12.6328125" customWidth="1"/>
    <col min="17" max="17" width="18.90625" bestFit="1" customWidth="1"/>
  </cols>
  <sheetData>
    <row r="1" spans="1:17" s="2" customFormat="1" thickBot="1" x14ac:dyDescent="0.35">
      <c r="A1" s="3" t="s">
        <v>0</v>
      </c>
      <c r="B1" s="19" t="s">
        <v>11</v>
      </c>
      <c r="C1" s="19" t="s">
        <v>10</v>
      </c>
      <c r="D1" s="19" t="s">
        <v>9</v>
      </c>
      <c r="E1" s="19" t="s">
        <v>12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16"/>
      <c r="N1" s="16"/>
      <c r="O1" s="16"/>
    </row>
    <row r="2" spans="1:17" ht="15" thickBot="1" x14ac:dyDescent="0.4">
      <c r="A2" s="5">
        <v>46063</v>
      </c>
      <c r="B2" s="20" t="str">
        <f>TEXT(Table1[[#This Row],[Date]],"dddd")</f>
        <v>Tuesday</v>
      </c>
      <c r="C2" s="20" t="str">
        <f>TEXT(Table1[[#This Row],[Date]],"mmmm")</f>
        <v>February</v>
      </c>
      <c r="D2" s="20" t="str">
        <f>"Q"&amp;ROUNDUP(MONTH(Table1[[#This Row],[Date]])/3,0)</f>
        <v>Q1</v>
      </c>
      <c r="E2" s="20" t="str">
        <f>TEXT(Table1[[#This Row],[Date]],"yyyy")</f>
        <v>2026</v>
      </c>
      <c r="F2" s="6">
        <v>266.10000000000002</v>
      </c>
      <c r="G2" s="6">
        <v>266.5</v>
      </c>
      <c r="H2" s="6">
        <v>264.10000000000002</v>
      </c>
      <c r="I2" s="6">
        <v>266.10000000000002</v>
      </c>
      <c r="J2" s="6">
        <v>266.10000000000002</v>
      </c>
      <c r="K2" s="7">
        <v>5.7000000000000002E-3</v>
      </c>
      <c r="L2" s="8">
        <v>144040</v>
      </c>
      <c r="M2" s="17"/>
      <c r="N2" s="17"/>
      <c r="O2" s="17"/>
    </row>
    <row r="3" spans="1:17" ht="15" thickBot="1" x14ac:dyDescent="0.4">
      <c r="A3" s="9">
        <v>46062</v>
      </c>
      <c r="B3" s="21" t="str">
        <f>TEXT(Table1[[#This Row],[Date]],"dddd")</f>
        <v>Monday</v>
      </c>
      <c r="C3" s="21" t="str">
        <f>TEXT(Table1[[#This Row],[Date]],"mmmm")</f>
        <v>February</v>
      </c>
      <c r="D3" s="21" t="str">
        <f>"Q"&amp;ROUNDUP(MONTH(Table1[[#This Row],[Date]])/3,0)</f>
        <v>Q1</v>
      </c>
      <c r="E3" s="21" t="str">
        <f>TEXT(Table1[[#This Row],[Date]],"yyyy")</f>
        <v>2026</v>
      </c>
      <c r="F3" s="10">
        <v>262.39999999999998</v>
      </c>
      <c r="G3" s="10">
        <v>265.2</v>
      </c>
      <c r="H3" s="10">
        <v>261.60000000000002</v>
      </c>
      <c r="I3" s="10">
        <v>264.60000000000002</v>
      </c>
      <c r="J3" s="10">
        <v>264.60000000000002</v>
      </c>
      <c r="K3" s="11">
        <v>1.2200000000000001E-2</v>
      </c>
      <c r="L3" s="12">
        <v>91101</v>
      </c>
      <c r="M3" s="18"/>
      <c r="N3" s="18"/>
      <c r="O3" s="18"/>
      <c r="Q3" s="15"/>
    </row>
    <row r="4" spans="1:17" ht="15" thickBot="1" x14ac:dyDescent="0.4">
      <c r="A4" s="5">
        <v>46061</v>
      </c>
      <c r="B4" s="20" t="str">
        <f>TEXT(Table1[[#This Row],[Date]],"dddd")</f>
        <v>Sunday</v>
      </c>
      <c r="C4" s="20" t="str">
        <f>TEXT(Table1[[#This Row],[Date]],"mmmm")</f>
        <v>February</v>
      </c>
      <c r="D4" s="20" t="str">
        <f>"Q"&amp;ROUNDUP(MONTH(Table1[[#This Row],[Date]])/3,0)</f>
        <v>Q1</v>
      </c>
      <c r="E4" s="20" t="str">
        <f>TEXT(Table1[[#This Row],[Date]],"yyyy")</f>
        <v>2026</v>
      </c>
      <c r="F4" s="6">
        <v>263.7</v>
      </c>
      <c r="G4" s="6">
        <v>263.7</v>
      </c>
      <c r="H4" s="6">
        <v>260.5</v>
      </c>
      <c r="I4" s="6">
        <v>261.39999999999998</v>
      </c>
      <c r="J4" s="6">
        <v>261.39999999999998</v>
      </c>
      <c r="K4" s="13">
        <v>-3.0999999999999999E-3</v>
      </c>
      <c r="L4" s="8">
        <v>100429</v>
      </c>
      <c r="M4" s="17"/>
      <c r="N4" s="17"/>
      <c r="O4" s="17"/>
    </row>
    <row r="5" spans="1:17" ht="15" thickBot="1" x14ac:dyDescent="0.4">
      <c r="A5" s="9">
        <v>46058</v>
      </c>
      <c r="B5" s="21" t="str">
        <f>TEXT(Table1[[#This Row],[Date]],"dddd")</f>
        <v>Thursday</v>
      </c>
      <c r="C5" s="21" t="str">
        <f>TEXT(Table1[[#This Row],[Date]],"mmmm")</f>
        <v>February</v>
      </c>
      <c r="D5" s="21" t="str">
        <f>"Q"&amp;ROUNDUP(MONTH(Table1[[#This Row],[Date]])/3,0)</f>
        <v>Q1</v>
      </c>
      <c r="E5" s="21" t="str">
        <f>TEXT(Table1[[#This Row],[Date]],"yyyy")</f>
        <v>2026</v>
      </c>
      <c r="F5" s="10">
        <v>262.2</v>
      </c>
      <c r="G5" s="10">
        <v>264</v>
      </c>
      <c r="H5" s="10">
        <v>262</v>
      </c>
      <c r="I5" s="10">
        <v>262.2</v>
      </c>
      <c r="J5" s="10">
        <v>262.2</v>
      </c>
      <c r="K5" s="14">
        <v>-2.3E-3</v>
      </c>
      <c r="L5" s="12">
        <v>192190</v>
      </c>
      <c r="M5" s="18"/>
      <c r="N5" s="18"/>
      <c r="O5" s="18"/>
    </row>
    <row r="6" spans="1:17" ht="15" thickBot="1" x14ac:dyDescent="0.4">
      <c r="A6" s="5">
        <v>46056</v>
      </c>
      <c r="B6" s="20" t="str">
        <f>TEXT(Table1[[#This Row],[Date]],"dddd")</f>
        <v>Tuesday</v>
      </c>
      <c r="C6" s="20" t="str">
        <f>TEXT(Table1[[#This Row],[Date]],"mmmm")</f>
        <v>February</v>
      </c>
      <c r="D6" s="20" t="str">
        <f>"Q"&amp;ROUNDUP(MONTH(Table1[[#This Row],[Date]])/3,0)</f>
        <v>Q1</v>
      </c>
      <c r="E6" s="20" t="str">
        <f>TEXT(Table1[[#This Row],[Date]],"yyyy")</f>
        <v>2026</v>
      </c>
      <c r="F6" s="6">
        <v>262.8</v>
      </c>
      <c r="G6" s="6">
        <v>264.8</v>
      </c>
      <c r="H6" s="6">
        <v>261</v>
      </c>
      <c r="I6" s="6">
        <v>262.8</v>
      </c>
      <c r="J6" s="6">
        <v>262.8</v>
      </c>
      <c r="K6" s="13">
        <v>-7.6E-3</v>
      </c>
      <c r="L6" s="8">
        <v>269159</v>
      </c>
      <c r="M6" s="17"/>
      <c r="N6" s="17"/>
      <c r="O6" s="17"/>
      <c r="Q6" s="15"/>
    </row>
    <row r="7" spans="1:17" ht="15" thickBot="1" x14ac:dyDescent="0.4">
      <c r="A7" s="9">
        <v>46055</v>
      </c>
      <c r="B7" s="21" t="str">
        <f>TEXT(Table1[[#This Row],[Date]],"dddd")</f>
        <v>Monday</v>
      </c>
      <c r="C7" s="21" t="str">
        <f>TEXT(Table1[[#This Row],[Date]],"mmmm")</f>
        <v>February</v>
      </c>
      <c r="D7" s="21" t="str">
        <f>"Q"&amp;ROUNDUP(MONTH(Table1[[#This Row],[Date]])/3,0)</f>
        <v>Q1</v>
      </c>
      <c r="E7" s="21" t="str">
        <f>TEXT(Table1[[#This Row],[Date]],"yyyy")</f>
        <v>2026</v>
      </c>
      <c r="F7" s="10">
        <v>264.8</v>
      </c>
      <c r="G7" s="10">
        <v>265</v>
      </c>
      <c r="H7" s="10">
        <v>260.10000000000002</v>
      </c>
      <c r="I7" s="10">
        <v>264.8</v>
      </c>
      <c r="J7" s="10">
        <v>264.8</v>
      </c>
      <c r="K7" s="11">
        <v>1.15E-2</v>
      </c>
      <c r="L7" s="12">
        <v>174154</v>
      </c>
      <c r="M7" s="18"/>
      <c r="N7" s="18"/>
      <c r="O7" s="18"/>
    </row>
    <row r="8" spans="1:17" ht="15" thickBot="1" x14ac:dyDescent="0.4">
      <c r="A8" s="5">
        <v>46054</v>
      </c>
      <c r="B8" s="20" t="str">
        <f>TEXT(Table1[[#This Row],[Date]],"dddd")</f>
        <v>Sunday</v>
      </c>
      <c r="C8" s="20" t="str">
        <f>TEXT(Table1[[#This Row],[Date]],"mmmm")</f>
        <v>February</v>
      </c>
      <c r="D8" s="20" t="str">
        <f>"Q"&amp;ROUNDUP(MONTH(Table1[[#This Row],[Date]])/3,0)</f>
        <v>Q1</v>
      </c>
      <c r="E8" s="20" t="str">
        <f>TEXT(Table1[[#This Row],[Date]],"yyyy")</f>
        <v>2026</v>
      </c>
      <c r="F8" s="6">
        <v>267.10000000000002</v>
      </c>
      <c r="G8" s="6">
        <v>267.3</v>
      </c>
      <c r="H8" s="6">
        <v>260.8</v>
      </c>
      <c r="I8" s="6">
        <v>261.8</v>
      </c>
      <c r="J8" s="6">
        <v>261.8</v>
      </c>
      <c r="K8" s="13">
        <v>-2.24E-2</v>
      </c>
      <c r="L8" s="8">
        <v>226175</v>
      </c>
      <c r="M8" s="17"/>
      <c r="N8" s="17"/>
      <c r="O8" s="17"/>
    </row>
    <row r="9" spans="1:17" ht="15" thickBot="1" x14ac:dyDescent="0.4">
      <c r="A9" s="9">
        <v>46051</v>
      </c>
      <c r="B9" s="21" t="str">
        <f>TEXT(Table1[[#This Row],[Date]],"dddd")</f>
        <v>Thursday</v>
      </c>
      <c r="C9" s="21" t="str">
        <f>TEXT(Table1[[#This Row],[Date]],"mmmm")</f>
        <v>January</v>
      </c>
      <c r="D9" s="21" t="str">
        <f>"Q"&amp;ROUNDUP(MONTH(Table1[[#This Row],[Date]])/3,0)</f>
        <v>Q1</v>
      </c>
      <c r="E9" s="21" t="str">
        <f>TEXT(Table1[[#This Row],[Date]],"yyyy")</f>
        <v>2026</v>
      </c>
      <c r="F9" s="10">
        <v>267.8</v>
      </c>
      <c r="G9" s="10">
        <v>271.5</v>
      </c>
      <c r="H9" s="10">
        <v>267</v>
      </c>
      <c r="I9" s="10">
        <v>267.8</v>
      </c>
      <c r="J9" s="10">
        <v>267.8</v>
      </c>
      <c r="K9" s="14">
        <v>-1.44E-2</v>
      </c>
      <c r="L9" s="12">
        <v>162127</v>
      </c>
      <c r="M9" s="18"/>
      <c r="N9" s="18"/>
      <c r="O9" s="18"/>
    </row>
    <row r="10" spans="1:17" ht="15" thickBot="1" x14ac:dyDescent="0.4">
      <c r="A10" s="5">
        <v>46050</v>
      </c>
      <c r="B10" s="20" t="str">
        <f>TEXT(Table1[[#This Row],[Date]],"dddd")</f>
        <v>Wednesday</v>
      </c>
      <c r="C10" s="20" t="str">
        <f>TEXT(Table1[[#This Row],[Date]],"mmmm")</f>
        <v>January</v>
      </c>
      <c r="D10" s="20" t="str">
        <f>"Q"&amp;ROUNDUP(MONTH(Table1[[#This Row],[Date]])/3,0)</f>
        <v>Q1</v>
      </c>
      <c r="E10" s="20" t="str">
        <f>TEXT(Table1[[#This Row],[Date]],"yyyy")</f>
        <v>2026</v>
      </c>
      <c r="F10" s="6">
        <v>271.7</v>
      </c>
      <c r="G10" s="6">
        <v>272</v>
      </c>
      <c r="H10" s="6">
        <v>267.7</v>
      </c>
      <c r="I10" s="6">
        <v>271.7</v>
      </c>
      <c r="J10" s="6">
        <v>271.7</v>
      </c>
      <c r="K10" s="7">
        <v>1.46E-2</v>
      </c>
      <c r="L10" s="8">
        <v>134153</v>
      </c>
      <c r="M10" s="17"/>
      <c r="N10" s="17"/>
      <c r="O10" s="17"/>
    </row>
    <row r="11" spans="1:17" ht="15" thickBot="1" x14ac:dyDescent="0.4">
      <c r="A11" s="9">
        <v>46049</v>
      </c>
      <c r="B11" s="21" t="str">
        <f>TEXT(Table1[[#This Row],[Date]],"dddd")</f>
        <v>Tuesday</v>
      </c>
      <c r="C11" s="21" t="str">
        <f>TEXT(Table1[[#This Row],[Date]],"mmmm")</f>
        <v>January</v>
      </c>
      <c r="D11" s="21" t="str">
        <f>"Q"&amp;ROUNDUP(MONTH(Table1[[#This Row],[Date]])/3,0)</f>
        <v>Q1</v>
      </c>
      <c r="E11" s="21" t="str">
        <f>TEXT(Table1[[#This Row],[Date]],"yyyy")</f>
        <v>2026</v>
      </c>
      <c r="F11" s="10">
        <v>267.8</v>
      </c>
      <c r="G11" s="10">
        <v>269</v>
      </c>
      <c r="H11" s="10">
        <v>266</v>
      </c>
      <c r="I11" s="10">
        <v>267.8</v>
      </c>
      <c r="J11" s="10">
        <v>267.8</v>
      </c>
      <c r="K11" s="11">
        <v>2.5999999999999999E-3</v>
      </c>
      <c r="L11" s="12">
        <v>208214</v>
      </c>
      <c r="M11" s="18"/>
      <c r="N11" s="18"/>
      <c r="O11" s="18"/>
    </row>
    <row r="12" spans="1:17" ht="15" thickBot="1" x14ac:dyDescent="0.4">
      <c r="A12" s="5">
        <v>46048</v>
      </c>
      <c r="B12" s="20" t="str">
        <f>TEXT(Table1[[#This Row],[Date]],"dddd")</f>
        <v>Monday</v>
      </c>
      <c r="C12" s="20" t="str">
        <f>TEXT(Table1[[#This Row],[Date]],"mmmm")</f>
        <v>January</v>
      </c>
      <c r="D12" s="20" t="str">
        <f>"Q"&amp;ROUNDUP(MONTH(Table1[[#This Row],[Date]])/3,0)</f>
        <v>Q1</v>
      </c>
      <c r="E12" s="20" t="str">
        <f>TEXT(Table1[[#This Row],[Date]],"yyyy")</f>
        <v>2026</v>
      </c>
      <c r="F12" s="6">
        <v>264.7</v>
      </c>
      <c r="G12" s="6">
        <v>267.60000000000002</v>
      </c>
      <c r="H12" s="6">
        <v>263.7</v>
      </c>
      <c r="I12" s="6">
        <v>267.10000000000002</v>
      </c>
      <c r="J12" s="6">
        <v>267.10000000000002</v>
      </c>
      <c r="K12" s="7">
        <v>1.3299999999999999E-2</v>
      </c>
      <c r="L12" s="8">
        <v>145540</v>
      </c>
      <c r="M12" s="17"/>
      <c r="N12" s="17"/>
      <c r="O12" s="17"/>
    </row>
    <row r="13" spans="1:17" ht="15" thickBot="1" x14ac:dyDescent="0.4">
      <c r="A13" s="9">
        <v>46047</v>
      </c>
      <c r="B13" s="21" t="str">
        <f>TEXT(Table1[[#This Row],[Date]],"dddd")</f>
        <v>Sunday</v>
      </c>
      <c r="C13" s="21" t="str">
        <f>TEXT(Table1[[#This Row],[Date]],"mmmm")</f>
        <v>January</v>
      </c>
      <c r="D13" s="21" t="str">
        <f>"Q"&amp;ROUNDUP(MONTH(Table1[[#This Row],[Date]])/3,0)</f>
        <v>Q1</v>
      </c>
      <c r="E13" s="21" t="str">
        <f>TEXT(Table1[[#This Row],[Date]],"yyyy")</f>
        <v>2026</v>
      </c>
      <c r="F13" s="10">
        <v>265</v>
      </c>
      <c r="G13" s="10">
        <v>265</v>
      </c>
      <c r="H13" s="10">
        <v>262</v>
      </c>
      <c r="I13" s="10">
        <v>263.60000000000002</v>
      </c>
      <c r="J13" s="10">
        <v>263.60000000000002</v>
      </c>
      <c r="K13" s="14">
        <v>-2.5999999999999999E-3</v>
      </c>
      <c r="L13" s="12">
        <v>79230</v>
      </c>
      <c r="M13" s="18"/>
      <c r="N13" s="18"/>
      <c r="O13" s="18"/>
    </row>
    <row r="14" spans="1:17" ht="15" thickBot="1" x14ac:dyDescent="0.4">
      <c r="A14" s="5">
        <v>46044</v>
      </c>
      <c r="B14" s="20" t="str">
        <f>TEXT(Table1[[#This Row],[Date]],"dddd")</f>
        <v>Thursday</v>
      </c>
      <c r="C14" s="20" t="str">
        <f>TEXT(Table1[[#This Row],[Date]],"mmmm")</f>
        <v>January</v>
      </c>
      <c r="D14" s="20" t="str">
        <f>"Q"&amp;ROUNDUP(MONTH(Table1[[#This Row],[Date]])/3,0)</f>
        <v>Q1</v>
      </c>
      <c r="E14" s="20" t="str">
        <f>TEXT(Table1[[#This Row],[Date]],"yyyy")</f>
        <v>2026</v>
      </c>
      <c r="F14" s="6">
        <v>264.3</v>
      </c>
      <c r="G14" s="6">
        <v>265</v>
      </c>
      <c r="H14" s="6">
        <v>262</v>
      </c>
      <c r="I14" s="6">
        <v>264.3</v>
      </c>
      <c r="J14" s="6">
        <v>264.3</v>
      </c>
      <c r="K14" s="7">
        <v>4.5999999999999999E-3</v>
      </c>
      <c r="L14" s="8">
        <v>155593</v>
      </c>
      <c r="M14" s="17"/>
      <c r="N14" s="17"/>
      <c r="O14" s="17"/>
    </row>
    <row r="15" spans="1:17" ht="15" thickBot="1" x14ac:dyDescent="0.4">
      <c r="A15" s="9">
        <v>46043</v>
      </c>
      <c r="B15" s="21" t="str">
        <f>TEXT(Table1[[#This Row],[Date]],"dddd")</f>
        <v>Wednesday</v>
      </c>
      <c r="C15" s="21" t="str">
        <f>TEXT(Table1[[#This Row],[Date]],"mmmm")</f>
        <v>January</v>
      </c>
      <c r="D15" s="21" t="str">
        <f>"Q"&amp;ROUNDUP(MONTH(Table1[[#This Row],[Date]])/3,0)</f>
        <v>Q1</v>
      </c>
      <c r="E15" s="21" t="str">
        <f>TEXT(Table1[[#This Row],[Date]],"yyyy")</f>
        <v>2026</v>
      </c>
      <c r="F15" s="10">
        <v>263.10000000000002</v>
      </c>
      <c r="G15" s="10">
        <v>264.89999999999998</v>
      </c>
      <c r="H15" s="10">
        <v>261</v>
      </c>
      <c r="I15" s="10">
        <v>263.10000000000002</v>
      </c>
      <c r="J15" s="10">
        <v>263.10000000000002</v>
      </c>
      <c r="K15" s="14">
        <v>-6.7999999999999996E-3</v>
      </c>
      <c r="L15" s="12">
        <v>302040</v>
      </c>
      <c r="M15" s="18"/>
      <c r="N15" s="18"/>
      <c r="O15" s="18"/>
    </row>
    <row r="16" spans="1:17" ht="15" thickBot="1" x14ac:dyDescent="0.4">
      <c r="A16" s="5">
        <v>46042</v>
      </c>
      <c r="B16" s="20" t="str">
        <f>TEXT(Table1[[#This Row],[Date]],"dddd")</f>
        <v>Tuesday</v>
      </c>
      <c r="C16" s="20" t="str">
        <f>TEXT(Table1[[#This Row],[Date]],"mmmm")</f>
        <v>January</v>
      </c>
      <c r="D16" s="20" t="str">
        <f>"Q"&amp;ROUNDUP(MONTH(Table1[[#This Row],[Date]])/3,0)</f>
        <v>Q1</v>
      </c>
      <c r="E16" s="20" t="str">
        <f>TEXT(Table1[[#This Row],[Date]],"yyyy")</f>
        <v>2026</v>
      </c>
      <c r="F16" s="6">
        <v>264.89999999999998</v>
      </c>
      <c r="G16" s="6">
        <v>266</v>
      </c>
      <c r="H16" s="6">
        <v>258.60000000000002</v>
      </c>
      <c r="I16" s="6">
        <v>264.89999999999998</v>
      </c>
      <c r="J16" s="6">
        <v>264.89999999999998</v>
      </c>
      <c r="K16" s="7">
        <v>1.9199999999999998E-2</v>
      </c>
      <c r="L16" s="8">
        <v>230518</v>
      </c>
      <c r="M16" s="17"/>
      <c r="N16" s="17"/>
      <c r="O16" s="17"/>
    </row>
    <row r="17" spans="1:15" ht="15" thickBot="1" x14ac:dyDescent="0.4">
      <c r="A17" s="9">
        <v>46041</v>
      </c>
      <c r="B17" s="21" t="str">
        <f>TEXT(Table1[[#This Row],[Date]],"dddd")</f>
        <v>Monday</v>
      </c>
      <c r="C17" s="21" t="str">
        <f>TEXT(Table1[[#This Row],[Date]],"mmmm")</f>
        <v>January</v>
      </c>
      <c r="D17" s="21" t="str">
        <f>"Q"&amp;ROUNDUP(MONTH(Table1[[#This Row],[Date]])/3,0)</f>
        <v>Q1</v>
      </c>
      <c r="E17" s="21" t="str">
        <f>TEXT(Table1[[#This Row],[Date]],"yyyy")</f>
        <v>2026</v>
      </c>
      <c r="F17" s="10">
        <v>259.3</v>
      </c>
      <c r="G17" s="10">
        <v>262.60000000000002</v>
      </c>
      <c r="H17" s="10">
        <v>256.7</v>
      </c>
      <c r="I17" s="10">
        <v>259.89999999999998</v>
      </c>
      <c r="J17" s="10">
        <v>259.89999999999998</v>
      </c>
      <c r="K17" s="11">
        <v>1.9E-3</v>
      </c>
      <c r="L17" s="12">
        <v>328134</v>
      </c>
      <c r="M17" s="18"/>
      <c r="N17" s="18"/>
      <c r="O17" s="18"/>
    </row>
    <row r="18" spans="1:15" ht="15" thickBot="1" x14ac:dyDescent="0.4">
      <c r="A18" s="5">
        <v>46040</v>
      </c>
      <c r="B18" s="20" t="str">
        <f>TEXT(Table1[[#This Row],[Date]],"dddd")</f>
        <v>Sunday</v>
      </c>
      <c r="C18" s="20" t="str">
        <f>TEXT(Table1[[#This Row],[Date]],"mmmm")</f>
        <v>January</v>
      </c>
      <c r="D18" s="20" t="str">
        <f>"Q"&amp;ROUNDUP(MONTH(Table1[[#This Row],[Date]])/3,0)</f>
        <v>Q1</v>
      </c>
      <c r="E18" s="20" t="str">
        <f>TEXT(Table1[[#This Row],[Date]],"yyyy")</f>
        <v>2026</v>
      </c>
      <c r="F18" s="6">
        <v>257</v>
      </c>
      <c r="G18" s="6">
        <v>260.60000000000002</v>
      </c>
      <c r="H18" s="6">
        <v>253</v>
      </c>
      <c r="I18" s="6">
        <v>259.39999999999998</v>
      </c>
      <c r="J18" s="6">
        <v>259.39999999999998</v>
      </c>
      <c r="K18" s="7">
        <v>1.61E-2</v>
      </c>
      <c r="L18" s="8">
        <v>109507</v>
      </c>
      <c r="M18" s="17"/>
      <c r="N18" s="17"/>
      <c r="O18" s="17"/>
    </row>
    <row r="19" spans="1:15" ht="15" thickBot="1" x14ac:dyDescent="0.4">
      <c r="A19" s="9">
        <v>46037</v>
      </c>
      <c r="B19" s="21" t="str">
        <f>TEXT(Table1[[#This Row],[Date]],"dddd")</f>
        <v>Thursday</v>
      </c>
      <c r="C19" s="21" t="str">
        <f>TEXT(Table1[[#This Row],[Date]],"mmmm")</f>
        <v>January</v>
      </c>
      <c r="D19" s="21" t="str">
        <f>"Q"&amp;ROUNDUP(MONTH(Table1[[#This Row],[Date]])/3,0)</f>
        <v>Q1</v>
      </c>
      <c r="E19" s="21" t="str">
        <f>TEXT(Table1[[#This Row],[Date]],"yyyy")</f>
        <v>2026</v>
      </c>
      <c r="F19" s="10">
        <v>255.3</v>
      </c>
      <c r="G19" s="10">
        <v>257.5</v>
      </c>
      <c r="H19" s="10">
        <v>253.5</v>
      </c>
      <c r="I19" s="10">
        <v>255.3</v>
      </c>
      <c r="J19" s="10">
        <v>255.3</v>
      </c>
      <c r="K19" s="11">
        <v>7.9000000000000008E-3</v>
      </c>
      <c r="L19" s="12">
        <v>179774</v>
      </c>
      <c r="M19" s="18"/>
      <c r="N19" s="18"/>
      <c r="O19" s="18"/>
    </row>
    <row r="20" spans="1:15" ht="15" thickBot="1" x14ac:dyDescent="0.4">
      <c r="A20" s="5">
        <v>46036</v>
      </c>
      <c r="B20" s="20" t="str">
        <f>TEXT(Table1[[#This Row],[Date]],"dddd")</f>
        <v>Wednesday</v>
      </c>
      <c r="C20" s="20" t="str">
        <f>TEXT(Table1[[#This Row],[Date]],"mmmm")</f>
        <v>January</v>
      </c>
      <c r="D20" s="20" t="str">
        <f>"Q"&amp;ROUNDUP(MONTH(Table1[[#This Row],[Date]])/3,0)</f>
        <v>Q1</v>
      </c>
      <c r="E20" s="20" t="str">
        <f>TEXT(Table1[[#This Row],[Date]],"yyyy")</f>
        <v>2026</v>
      </c>
      <c r="F20" s="6">
        <v>253.3</v>
      </c>
      <c r="G20" s="6">
        <v>254.8</v>
      </c>
      <c r="H20" s="6">
        <v>251</v>
      </c>
      <c r="I20" s="6">
        <v>253.3</v>
      </c>
      <c r="J20" s="6">
        <v>253.3</v>
      </c>
      <c r="K20" s="7">
        <v>8.3999999999999995E-3</v>
      </c>
      <c r="L20" s="8">
        <v>112152</v>
      </c>
      <c r="M20" s="17"/>
      <c r="N20" s="17"/>
      <c r="O20" s="17"/>
    </row>
    <row r="21" spans="1:15" ht="15" thickBot="1" x14ac:dyDescent="0.4">
      <c r="A21" s="9">
        <v>46035</v>
      </c>
      <c r="B21" s="21" t="str">
        <f>TEXT(Table1[[#This Row],[Date]],"dddd")</f>
        <v>Tuesday</v>
      </c>
      <c r="C21" s="21" t="str">
        <f>TEXT(Table1[[#This Row],[Date]],"mmmm")</f>
        <v>January</v>
      </c>
      <c r="D21" s="21" t="str">
        <f>"Q"&amp;ROUNDUP(MONTH(Table1[[#This Row],[Date]])/3,0)</f>
        <v>Q1</v>
      </c>
      <c r="E21" s="21" t="str">
        <f>TEXT(Table1[[#This Row],[Date]],"yyyy")</f>
        <v>2026</v>
      </c>
      <c r="F21" s="10">
        <v>251.2</v>
      </c>
      <c r="G21" s="10">
        <v>251.7</v>
      </c>
      <c r="H21" s="10">
        <v>250.5</v>
      </c>
      <c r="I21" s="10">
        <v>251.2</v>
      </c>
      <c r="J21" s="10">
        <v>251.2</v>
      </c>
      <c r="K21" s="10" t="s">
        <v>8</v>
      </c>
      <c r="L21" s="12">
        <v>82851</v>
      </c>
      <c r="M21" s="18"/>
      <c r="N21" s="18"/>
      <c r="O21" s="18"/>
    </row>
    <row r="22" spans="1:15" ht="15" thickBot="1" x14ac:dyDescent="0.4">
      <c r="A22" s="5">
        <v>46034</v>
      </c>
      <c r="B22" s="20" t="str">
        <f>TEXT(Table1[[#This Row],[Date]],"dddd")</f>
        <v>Monday</v>
      </c>
      <c r="C22" s="20" t="str">
        <f>TEXT(Table1[[#This Row],[Date]],"mmmm")</f>
        <v>January</v>
      </c>
      <c r="D22" s="20" t="str">
        <f>"Q"&amp;ROUNDUP(MONTH(Table1[[#This Row],[Date]])/3,0)</f>
        <v>Q1</v>
      </c>
      <c r="E22" s="20" t="str">
        <f>TEXT(Table1[[#This Row],[Date]],"yyyy")</f>
        <v>2026</v>
      </c>
      <c r="F22" s="6">
        <v>251.2</v>
      </c>
      <c r="G22" s="6">
        <v>252.8</v>
      </c>
      <c r="H22" s="6">
        <v>250.5</v>
      </c>
      <c r="I22" s="6">
        <v>251.2</v>
      </c>
      <c r="J22" s="6">
        <v>251.2</v>
      </c>
      <c r="K22" s="13">
        <v>-5.4999999999999997E-3</v>
      </c>
      <c r="L22" s="8">
        <v>100324</v>
      </c>
      <c r="M22" s="17"/>
      <c r="N22" s="17"/>
      <c r="O22" s="17"/>
    </row>
    <row r="23" spans="1:15" ht="15" thickBot="1" x14ac:dyDescent="0.4">
      <c r="A23" s="9">
        <v>46033</v>
      </c>
      <c r="B23" s="21" t="str">
        <f>TEXT(Table1[[#This Row],[Date]],"dddd")</f>
        <v>Sunday</v>
      </c>
      <c r="C23" s="21" t="str">
        <f>TEXT(Table1[[#This Row],[Date]],"mmmm")</f>
        <v>January</v>
      </c>
      <c r="D23" s="21" t="str">
        <f>"Q"&amp;ROUNDUP(MONTH(Table1[[#This Row],[Date]])/3,0)</f>
        <v>Q1</v>
      </c>
      <c r="E23" s="21" t="str">
        <f>TEXT(Table1[[#This Row],[Date]],"yyyy")</f>
        <v>2026</v>
      </c>
      <c r="F23" s="10">
        <v>254.1</v>
      </c>
      <c r="G23" s="10">
        <v>254.6</v>
      </c>
      <c r="H23" s="10">
        <v>252</v>
      </c>
      <c r="I23" s="10">
        <v>252.6</v>
      </c>
      <c r="J23" s="10">
        <v>252.6</v>
      </c>
      <c r="K23" s="14">
        <v>-5.8999999999999999E-3</v>
      </c>
      <c r="L23" s="12">
        <v>143888</v>
      </c>
      <c r="M23" s="18"/>
      <c r="N23" s="18"/>
      <c r="O23" s="18"/>
    </row>
    <row r="24" spans="1:15" ht="15" thickBot="1" x14ac:dyDescent="0.4">
      <c r="A24" s="5">
        <v>46030</v>
      </c>
      <c r="B24" s="20" t="str">
        <f>TEXT(Table1[[#This Row],[Date]],"dddd")</f>
        <v>Thursday</v>
      </c>
      <c r="C24" s="20" t="str">
        <f>TEXT(Table1[[#This Row],[Date]],"mmmm")</f>
        <v>January</v>
      </c>
      <c r="D24" s="20" t="str">
        <f>"Q"&amp;ROUNDUP(MONTH(Table1[[#This Row],[Date]])/3,0)</f>
        <v>Q1</v>
      </c>
      <c r="E24" s="20" t="str">
        <f>TEXT(Table1[[#This Row],[Date]],"yyyy")</f>
        <v>2026</v>
      </c>
      <c r="F24" s="6">
        <v>254.1</v>
      </c>
      <c r="G24" s="6">
        <v>256</v>
      </c>
      <c r="H24" s="6">
        <v>253.5</v>
      </c>
      <c r="I24" s="6">
        <v>254.1</v>
      </c>
      <c r="J24" s="6">
        <v>254.1</v>
      </c>
      <c r="K24" s="7">
        <v>1.1999999999999999E-3</v>
      </c>
      <c r="L24" s="8">
        <v>221855</v>
      </c>
      <c r="M24" s="17"/>
      <c r="N24" s="17"/>
      <c r="O24" s="17"/>
    </row>
    <row r="25" spans="1:15" ht="15" thickBot="1" x14ac:dyDescent="0.4">
      <c r="A25" s="9">
        <v>46029</v>
      </c>
      <c r="B25" s="21" t="str">
        <f>TEXT(Table1[[#This Row],[Date]],"dddd")</f>
        <v>Wednesday</v>
      </c>
      <c r="C25" s="21" t="str">
        <f>TEXT(Table1[[#This Row],[Date]],"mmmm")</f>
        <v>January</v>
      </c>
      <c r="D25" s="21" t="str">
        <f>"Q"&amp;ROUNDUP(MONTH(Table1[[#This Row],[Date]])/3,0)</f>
        <v>Q1</v>
      </c>
      <c r="E25" s="21" t="str">
        <f>TEXT(Table1[[#This Row],[Date]],"yyyy")</f>
        <v>2026</v>
      </c>
      <c r="F25" s="10">
        <v>253.5</v>
      </c>
      <c r="G25" s="10">
        <v>254.5</v>
      </c>
      <c r="H25" s="10">
        <v>253.5</v>
      </c>
      <c r="I25" s="10">
        <v>253.8</v>
      </c>
      <c r="J25" s="10">
        <v>253.8</v>
      </c>
      <c r="K25" s="11">
        <v>3.2000000000000002E-3</v>
      </c>
      <c r="L25" s="12">
        <v>118080</v>
      </c>
      <c r="M25" s="18"/>
      <c r="N25" s="18"/>
      <c r="O25" s="18"/>
    </row>
    <row r="26" spans="1:15" ht="15" thickBot="1" x14ac:dyDescent="0.4">
      <c r="A26" s="5">
        <v>46028</v>
      </c>
      <c r="B26" s="20" t="str">
        <f>TEXT(Table1[[#This Row],[Date]],"dddd")</f>
        <v>Tuesday</v>
      </c>
      <c r="C26" s="20" t="str">
        <f>TEXT(Table1[[#This Row],[Date]],"mmmm")</f>
        <v>January</v>
      </c>
      <c r="D26" s="20" t="str">
        <f>"Q"&amp;ROUNDUP(MONTH(Table1[[#This Row],[Date]])/3,0)</f>
        <v>Q1</v>
      </c>
      <c r="E26" s="20" t="str">
        <f>TEXT(Table1[[#This Row],[Date]],"yyyy")</f>
        <v>2026</v>
      </c>
      <c r="F26" s="6">
        <v>253</v>
      </c>
      <c r="G26" s="6">
        <v>254.8</v>
      </c>
      <c r="H26" s="6">
        <v>252.1</v>
      </c>
      <c r="I26" s="6">
        <v>253</v>
      </c>
      <c r="J26" s="6">
        <v>253</v>
      </c>
      <c r="K26" s="7">
        <v>4.0000000000000002E-4</v>
      </c>
      <c r="L26" s="8">
        <v>115623</v>
      </c>
      <c r="M26" s="17"/>
      <c r="N26" s="17"/>
      <c r="O26" s="17"/>
    </row>
    <row r="27" spans="1:15" ht="15" thickBot="1" x14ac:dyDescent="0.4">
      <c r="A27" s="9">
        <v>46027</v>
      </c>
      <c r="B27" s="21" t="str">
        <f>TEXT(Table1[[#This Row],[Date]],"dddd")</f>
        <v>Monday</v>
      </c>
      <c r="C27" s="21" t="str">
        <f>TEXT(Table1[[#This Row],[Date]],"mmmm")</f>
        <v>January</v>
      </c>
      <c r="D27" s="21" t="str">
        <f>"Q"&amp;ROUNDUP(MONTH(Table1[[#This Row],[Date]])/3,0)</f>
        <v>Q1</v>
      </c>
      <c r="E27" s="21" t="str">
        <f>TEXT(Table1[[#This Row],[Date]],"yyyy")</f>
        <v>2026</v>
      </c>
      <c r="F27" s="10">
        <v>252.9</v>
      </c>
      <c r="G27" s="10">
        <v>253.5</v>
      </c>
      <c r="H27" s="10">
        <v>252</v>
      </c>
      <c r="I27" s="10">
        <v>252.9</v>
      </c>
      <c r="J27" s="10">
        <v>252.9</v>
      </c>
      <c r="K27" s="14">
        <v>-1.1999999999999999E-3</v>
      </c>
      <c r="L27" s="12">
        <v>75878</v>
      </c>
      <c r="M27" s="18"/>
      <c r="N27" s="18"/>
      <c r="O27" s="18"/>
    </row>
    <row r="28" spans="1:15" ht="15" thickBot="1" x14ac:dyDescent="0.4">
      <c r="A28" s="5">
        <v>46026</v>
      </c>
      <c r="B28" s="20" t="str">
        <f>TEXT(Table1[[#This Row],[Date]],"dddd")</f>
        <v>Sunday</v>
      </c>
      <c r="C28" s="20" t="str">
        <f>TEXT(Table1[[#This Row],[Date]],"mmmm")</f>
        <v>January</v>
      </c>
      <c r="D28" s="20" t="str">
        <f>"Q"&amp;ROUNDUP(MONTH(Table1[[#This Row],[Date]])/3,0)</f>
        <v>Q1</v>
      </c>
      <c r="E28" s="20" t="str">
        <f>TEXT(Table1[[#This Row],[Date]],"yyyy")</f>
        <v>2026</v>
      </c>
      <c r="F28" s="6">
        <v>256.39999999999998</v>
      </c>
      <c r="G28" s="6">
        <v>256.39999999999998</v>
      </c>
      <c r="H28" s="6">
        <v>250.4</v>
      </c>
      <c r="I28" s="6">
        <v>253.2</v>
      </c>
      <c r="J28" s="6">
        <v>253.2</v>
      </c>
      <c r="K28" s="13">
        <v>-1.29E-2</v>
      </c>
      <c r="L28" s="8">
        <v>141358</v>
      </c>
      <c r="M28" s="17"/>
      <c r="N28" s="17"/>
      <c r="O28" s="17"/>
    </row>
    <row r="29" spans="1:15" ht="15" thickBot="1" x14ac:dyDescent="0.4">
      <c r="A29" s="9">
        <v>46023</v>
      </c>
      <c r="B29" s="21" t="str">
        <f>TEXT(Table1[[#This Row],[Date]],"dddd")</f>
        <v>Thursday</v>
      </c>
      <c r="C29" s="21" t="str">
        <f>TEXT(Table1[[#This Row],[Date]],"mmmm")</f>
        <v>January</v>
      </c>
      <c r="D29" s="21" t="str">
        <f>"Q"&amp;ROUNDUP(MONTH(Table1[[#This Row],[Date]])/3,0)</f>
        <v>Q1</v>
      </c>
      <c r="E29" s="21" t="str">
        <f>TEXT(Table1[[#This Row],[Date]],"yyyy")</f>
        <v>2026</v>
      </c>
      <c r="F29" s="10">
        <v>260</v>
      </c>
      <c r="G29" s="10">
        <v>260</v>
      </c>
      <c r="H29" s="10">
        <v>254.8</v>
      </c>
      <c r="I29" s="10">
        <v>256.5</v>
      </c>
      <c r="J29" s="10">
        <v>256.5</v>
      </c>
      <c r="K29" s="14">
        <v>-5.4000000000000003E-3</v>
      </c>
      <c r="L29" s="12">
        <v>105061</v>
      </c>
      <c r="M29" s="18"/>
      <c r="N29" s="18"/>
      <c r="O29" s="18"/>
    </row>
    <row r="30" spans="1:15" ht="15" thickBot="1" x14ac:dyDescent="0.4">
      <c r="A30" s="5">
        <v>46021</v>
      </c>
      <c r="B30" s="20" t="str">
        <f>TEXT(Table1[[#This Row],[Date]],"dddd")</f>
        <v>Tuesday</v>
      </c>
      <c r="C30" s="20" t="str">
        <f>TEXT(Table1[[#This Row],[Date]],"mmmm")</f>
        <v>December</v>
      </c>
      <c r="D30" s="20" t="str">
        <f>"Q"&amp;ROUNDUP(MONTH(Table1[[#This Row],[Date]])/3,0)</f>
        <v>Q4</v>
      </c>
      <c r="E30" s="20" t="str">
        <f>TEXT(Table1[[#This Row],[Date]],"yyyy")</f>
        <v>2025</v>
      </c>
      <c r="F30" s="6">
        <v>257.89999999999998</v>
      </c>
      <c r="G30" s="6">
        <v>258.89999999999998</v>
      </c>
      <c r="H30" s="6">
        <v>257.39999999999998</v>
      </c>
      <c r="I30" s="6">
        <v>257.89999999999998</v>
      </c>
      <c r="J30" s="6">
        <v>257.89999999999998</v>
      </c>
      <c r="K30" s="13">
        <v>-2.7000000000000001E-3</v>
      </c>
      <c r="L30" s="8">
        <v>73935</v>
      </c>
      <c r="M30" s="17"/>
      <c r="N30" s="17"/>
      <c r="O30" s="17"/>
    </row>
    <row r="31" spans="1:15" ht="15" thickBot="1" x14ac:dyDescent="0.4">
      <c r="A31" s="9">
        <v>46020</v>
      </c>
      <c r="B31" s="21" t="str">
        <f>TEXT(Table1[[#This Row],[Date]],"dddd")</f>
        <v>Monday</v>
      </c>
      <c r="C31" s="21" t="str">
        <f>TEXT(Table1[[#This Row],[Date]],"mmmm")</f>
        <v>December</v>
      </c>
      <c r="D31" s="21" t="str">
        <f>"Q"&amp;ROUNDUP(MONTH(Table1[[#This Row],[Date]])/3,0)</f>
        <v>Q4</v>
      </c>
      <c r="E31" s="21" t="str">
        <f>TEXT(Table1[[#This Row],[Date]],"yyyy")</f>
        <v>2025</v>
      </c>
      <c r="F31" s="10">
        <v>258.60000000000002</v>
      </c>
      <c r="G31" s="10">
        <v>260.89999999999998</v>
      </c>
      <c r="H31" s="10">
        <v>257.2</v>
      </c>
      <c r="I31" s="10">
        <v>258.60000000000002</v>
      </c>
      <c r="J31" s="10">
        <v>258.60000000000002</v>
      </c>
      <c r="K31" s="14">
        <v>-6.4999999999999997E-3</v>
      </c>
      <c r="L31" s="12">
        <v>41480</v>
      </c>
      <c r="M31" s="18"/>
      <c r="N31" s="18"/>
      <c r="O31" s="18"/>
    </row>
    <row r="32" spans="1:15" ht="15" thickBot="1" x14ac:dyDescent="0.4">
      <c r="A32" s="5">
        <v>46019</v>
      </c>
      <c r="B32" s="20" t="str">
        <f>TEXT(Table1[[#This Row],[Date]],"dddd")</f>
        <v>Sunday</v>
      </c>
      <c r="C32" s="20" t="str">
        <f>TEXT(Table1[[#This Row],[Date]],"mmmm")</f>
        <v>December</v>
      </c>
      <c r="D32" s="20" t="str">
        <f>"Q"&amp;ROUNDUP(MONTH(Table1[[#This Row],[Date]])/3,0)</f>
        <v>Q4</v>
      </c>
      <c r="E32" s="20" t="str">
        <f>TEXT(Table1[[#This Row],[Date]],"yyyy")</f>
        <v>2025</v>
      </c>
      <c r="F32" s="6">
        <v>263</v>
      </c>
      <c r="G32" s="6">
        <v>263</v>
      </c>
      <c r="H32" s="6">
        <v>260.10000000000002</v>
      </c>
      <c r="I32" s="6">
        <v>260.3</v>
      </c>
      <c r="J32" s="6">
        <v>260.3</v>
      </c>
      <c r="K32" s="13">
        <v>-2.3E-3</v>
      </c>
      <c r="L32" s="8">
        <v>56806</v>
      </c>
      <c r="M32" s="17"/>
      <c r="N32" s="17"/>
      <c r="O32" s="17"/>
    </row>
    <row r="33" spans="1:15" ht="15" thickBot="1" x14ac:dyDescent="0.4">
      <c r="A33" s="9">
        <v>46015</v>
      </c>
      <c r="B33" s="21" t="str">
        <f>TEXT(Table1[[#This Row],[Date]],"dddd")</f>
        <v>Wednesday</v>
      </c>
      <c r="C33" s="21" t="str">
        <f>TEXT(Table1[[#This Row],[Date]],"mmmm")</f>
        <v>December</v>
      </c>
      <c r="D33" s="21" t="str">
        <f>"Q"&amp;ROUNDUP(MONTH(Table1[[#This Row],[Date]])/3,0)</f>
        <v>Q4</v>
      </c>
      <c r="E33" s="21" t="str">
        <f>TEXT(Table1[[#This Row],[Date]],"yyyy")</f>
        <v>2025</v>
      </c>
      <c r="F33" s="10">
        <v>260.89999999999998</v>
      </c>
      <c r="G33" s="10">
        <v>263.89999999999998</v>
      </c>
      <c r="H33" s="10">
        <v>258.5</v>
      </c>
      <c r="I33" s="10">
        <v>260.89999999999998</v>
      </c>
      <c r="J33" s="10">
        <v>260.89999999999998</v>
      </c>
      <c r="K33" s="11">
        <v>8.8999999999999999E-3</v>
      </c>
      <c r="L33" s="12">
        <v>32524</v>
      </c>
      <c r="M33" s="18"/>
      <c r="N33" s="18"/>
      <c r="O33" s="18"/>
    </row>
    <row r="34" spans="1:15" ht="15" thickBot="1" x14ac:dyDescent="0.4">
      <c r="A34" s="5">
        <v>46014</v>
      </c>
      <c r="B34" s="20" t="str">
        <f>TEXT(Table1[[#This Row],[Date]],"dddd")</f>
        <v>Tuesday</v>
      </c>
      <c r="C34" s="20" t="str">
        <f>TEXT(Table1[[#This Row],[Date]],"mmmm")</f>
        <v>December</v>
      </c>
      <c r="D34" s="20" t="str">
        <f>"Q"&amp;ROUNDUP(MONTH(Table1[[#This Row],[Date]])/3,0)</f>
        <v>Q4</v>
      </c>
      <c r="E34" s="20" t="str">
        <f>TEXT(Table1[[#This Row],[Date]],"yyyy")</f>
        <v>2025</v>
      </c>
      <c r="F34" s="6">
        <v>258.60000000000002</v>
      </c>
      <c r="G34" s="6">
        <v>260.7</v>
      </c>
      <c r="H34" s="6">
        <v>258.10000000000002</v>
      </c>
      <c r="I34" s="6">
        <v>258.60000000000002</v>
      </c>
      <c r="J34" s="6">
        <v>258.60000000000002</v>
      </c>
      <c r="K34" s="13">
        <v>-8.0000000000000004E-4</v>
      </c>
      <c r="L34" s="8">
        <v>57785</v>
      </c>
      <c r="M34" s="17"/>
      <c r="N34" s="17"/>
      <c r="O34" s="17"/>
    </row>
    <row r="35" spans="1:15" ht="15" thickBot="1" x14ac:dyDescent="0.4">
      <c r="A35" s="9">
        <v>46013</v>
      </c>
      <c r="B35" s="21" t="str">
        <f>TEXT(Table1[[#This Row],[Date]],"dddd")</f>
        <v>Monday</v>
      </c>
      <c r="C35" s="21" t="str">
        <f>TEXT(Table1[[#This Row],[Date]],"mmmm")</f>
        <v>December</v>
      </c>
      <c r="D35" s="21" t="str">
        <f>"Q"&amp;ROUNDUP(MONTH(Table1[[#This Row],[Date]])/3,0)</f>
        <v>Q4</v>
      </c>
      <c r="E35" s="21" t="str">
        <f>TEXT(Table1[[#This Row],[Date]],"yyyy")</f>
        <v>2025</v>
      </c>
      <c r="F35" s="10">
        <v>258.8</v>
      </c>
      <c r="G35" s="10">
        <v>260</v>
      </c>
      <c r="H35" s="10">
        <v>258</v>
      </c>
      <c r="I35" s="10">
        <v>258.8</v>
      </c>
      <c r="J35" s="10">
        <v>258.8</v>
      </c>
      <c r="K35" s="11">
        <v>1.9E-3</v>
      </c>
      <c r="L35" s="12">
        <v>52688</v>
      </c>
      <c r="M35" s="18"/>
      <c r="N35" s="18"/>
      <c r="O35" s="18"/>
    </row>
    <row r="36" spans="1:15" ht="15" thickBot="1" x14ac:dyDescent="0.4">
      <c r="A36" s="5">
        <v>46012</v>
      </c>
      <c r="B36" s="20" t="str">
        <f>TEXT(Table1[[#This Row],[Date]],"dddd")</f>
        <v>Sunday</v>
      </c>
      <c r="C36" s="20" t="str">
        <f>TEXT(Table1[[#This Row],[Date]],"mmmm")</f>
        <v>December</v>
      </c>
      <c r="D36" s="20" t="str">
        <f>"Q"&amp;ROUNDUP(MONTH(Table1[[#This Row],[Date]])/3,0)</f>
        <v>Q4</v>
      </c>
      <c r="E36" s="20" t="str">
        <f>TEXT(Table1[[#This Row],[Date]],"yyyy")</f>
        <v>2025</v>
      </c>
      <c r="F36" s="6">
        <v>258.10000000000002</v>
      </c>
      <c r="G36" s="6">
        <v>259.3</v>
      </c>
      <c r="H36" s="6">
        <v>257</v>
      </c>
      <c r="I36" s="6">
        <v>258.3</v>
      </c>
      <c r="J36" s="6">
        <v>258.3</v>
      </c>
      <c r="K36" s="13">
        <v>-1.5E-3</v>
      </c>
      <c r="L36" s="8">
        <v>24195</v>
      </c>
      <c r="M36" s="17"/>
      <c r="N36" s="17"/>
      <c r="O36" s="17"/>
    </row>
    <row r="37" spans="1:15" ht="15" thickBot="1" x14ac:dyDescent="0.4">
      <c r="A37" s="9">
        <v>46009</v>
      </c>
      <c r="B37" s="21" t="str">
        <f>TEXT(Table1[[#This Row],[Date]],"dddd")</f>
        <v>Thursday</v>
      </c>
      <c r="C37" s="21" t="str">
        <f>TEXT(Table1[[#This Row],[Date]],"mmmm")</f>
        <v>December</v>
      </c>
      <c r="D37" s="21" t="str">
        <f>"Q"&amp;ROUNDUP(MONTH(Table1[[#This Row],[Date]])/3,0)</f>
        <v>Q4</v>
      </c>
      <c r="E37" s="21" t="str">
        <f>TEXT(Table1[[#This Row],[Date]],"yyyy")</f>
        <v>2025</v>
      </c>
      <c r="F37" s="10">
        <v>258.7</v>
      </c>
      <c r="G37" s="10">
        <v>260.8</v>
      </c>
      <c r="H37" s="10">
        <v>258</v>
      </c>
      <c r="I37" s="10">
        <v>258.7</v>
      </c>
      <c r="J37" s="10">
        <v>258.7</v>
      </c>
      <c r="K37" s="14">
        <v>-6.1000000000000004E-3</v>
      </c>
      <c r="L37" s="12">
        <v>47646</v>
      </c>
      <c r="M37" s="18"/>
      <c r="N37" s="18"/>
      <c r="O37" s="18"/>
    </row>
    <row r="38" spans="1:15" ht="15" thickBot="1" x14ac:dyDescent="0.4">
      <c r="A38" s="5">
        <v>46008</v>
      </c>
      <c r="B38" s="20" t="str">
        <f>TEXT(Table1[[#This Row],[Date]],"dddd")</f>
        <v>Wednesday</v>
      </c>
      <c r="C38" s="20" t="str">
        <f>TEXT(Table1[[#This Row],[Date]],"mmmm")</f>
        <v>December</v>
      </c>
      <c r="D38" s="20" t="str">
        <f>"Q"&amp;ROUNDUP(MONTH(Table1[[#This Row],[Date]])/3,0)</f>
        <v>Q4</v>
      </c>
      <c r="E38" s="20" t="str">
        <f>TEXT(Table1[[#This Row],[Date]],"yyyy")</f>
        <v>2025</v>
      </c>
      <c r="F38" s="6">
        <v>260.3</v>
      </c>
      <c r="G38" s="6">
        <v>262</v>
      </c>
      <c r="H38" s="6">
        <v>257.2</v>
      </c>
      <c r="I38" s="6">
        <v>260.3</v>
      </c>
      <c r="J38" s="6">
        <v>260.3</v>
      </c>
      <c r="K38" s="7">
        <v>1.1299999999999999E-2</v>
      </c>
      <c r="L38" s="8">
        <v>67914</v>
      </c>
      <c r="M38" s="17"/>
      <c r="N38" s="17"/>
      <c r="O38" s="17"/>
    </row>
    <row r="39" spans="1:15" ht="15" thickBot="1" x14ac:dyDescent="0.4">
      <c r="A39" s="9">
        <v>46006</v>
      </c>
      <c r="B39" s="21" t="str">
        <f>TEXT(Table1[[#This Row],[Date]],"dddd")</f>
        <v>Monday</v>
      </c>
      <c r="C39" s="21" t="str">
        <f>TEXT(Table1[[#This Row],[Date]],"mmmm")</f>
        <v>December</v>
      </c>
      <c r="D39" s="21" t="str">
        <f>"Q"&amp;ROUNDUP(MONTH(Table1[[#This Row],[Date]])/3,0)</f>
        <v>Q4</v>
      </c>
      <c r="E39" s="21" t="str">
        <f>TEXT(Table1[[#This Row],[Date]],"yyyy")</f>
        <v>2025</v>
      </c>
      <c r="F39" s="10">
        <v>257.39999999999998</v>
      </c>
      <c r="G39" s="10">
        <v>259.39999999999998</v>
      </c>
      <c r="H39" s="10">
        <v>255.5</v>
      </c>
      <c r="I39" s="10">
        <v>257.39999999999998</v>
      </c>
      <c r="J39" s="10">
        <v>257.39999999999998</v>
      </c>
      <c r="K39" s="14">
        <v>-6.1999999999999998E-3</v>
      </c>
      <c r="L39" s="12">
        <v>89910</v>
      </c>
      <c r="M39" s="18"/>
      <c r="N39" s="18"/>
      <c r="O39" s="18"/>
    </row>
    <row r="40" spans="1:15" ht="15" thickBot="1" x14ac:dyDescent="0.4">
      <c r="A40" s="5">
        <v>46005</v>
      </c>
      <c r="B40" s="20" t="str">
        <f>TEXT(Table1[[#This Row],[Date]],"dddd")</f>
        <v>Sunday</v>
      </c>
      <c r="C40" s="20" t="str">
        <f>TEXT(Table1[[#This Row],[Date]],"mmmm")</f>
        <v>December</v>
      </c>
      <c r="D40" s="20" t="str">
        <f>"Q"&amp;ROUNDUP(MONTH(Table1[[#This Row],[Date]])/3,0)</f>
        <v>Q4</v>
      </c>
      <c r="E40" s="20" t="str">
        <f>TEXT(Table1[[#This Row],[Date]],"yyyy")</f>
        <v>2025</v>
      </c>
      <c r="F40" s="6">
        <v>264.8</v>
      </c>
      <c r="G40" s="6">
        <v>264.8</v>
      </c>
      <c r="H40" s="6">
        <v>257.60000000000002</v>
      </c>
      <c r="I40" s="6">
        <v>259</v>
      </c>
      <c r="J40" s="6">
        <v>259</v>
      </c>
      <c r="K40" s="13">
        <v>-2.4500000000000001E-2</v>
      </c>
      <c r="L40" s="8">
        <v>178571</v>
      </c>
      <c r="M40" s="17"/>
      <c r="N40" s="17"/>
      <c r="O40" s="17"/>
    </row>
    <row r="41" spans="1:15" ht="15" thickBot="1" x14ac:dyDescent="0.4">
      <c r="A41" s="9">
        <v>46002</v>
      </c>
      <c r="B41" s="21" t="str">
        <f>TEXT(Table1[[#This Row],[Date]],"dddd")</f>
        <v>Thursday</v>
      </c>
      <c r="C41" s="21" t="str">
        <f>TEXT(Table1[[#This Row],[Date]],"mmmm")</f>
        <v>December</v>
      </c>
      <c r="D41" s="21" t="str">
        <f>"Q"&amp;ROUNDUP(MONTH(Table1[[#This Row],[Date]])/3,0)</f>
        <v>Q4</v>
      </c>
      <c r="E41" s="21" t="str">
        <f>TEXT(Table1[[#This Row],[Date]],"yyyy")</f>
        <v>2025</v>
      </c>
      <c r="F41" s="10">
        <v>265.5</v>
      </c>
      <c r="G41" s="10">
        <v>271.3</v>
      </c>
      <c r="H41" s="10">
        <v>262.10000000000002</v>
      </c>
      <c r="I41" s="10">
        <v>265.5</v>
      </c>
      <c r="J41" s="10">
        <v>265.5</v>
      </c>
      <c r="K41" s="14">
        <v>-1.5900000000000001E-2</v>
      </c>
      <c r="L41" s="12">
        <v>236490</v>
      </c>
      <c r="M41" s="18"/>
      <c r="N41" s="18"/>
      <c r="O41" s="18"/>
    </row>
    <row r="42" spans="1:15" ht="15" thickBot="1" x14ac:dyDescent="0.4">
      <c r="A42" s="5">
        <v>46001</v>
      </c>
      <c r="B42" s="20" t="str">
        <f>TEXT(Table1[[#This Row],[Date]],"dddd")</f>
        <v>Wednesday</v>
      </c>
      <c r="C42" s="20" t="str">
        <f>TEXT(Table1[[#This Row],[Date]],"mmmm")</f>
        <v>December</v>
      </c>
      <c r="D42" s="20" t="str">
        <f>"Q"&amp;ROUNDUP(MONTH(Table1[[#This Row],[Date]])/3,0)</f>
        <v>Q4</v>
      </c>
      <c r="E42" s="20" t="str">
        <f>TEXT(Table1[[#This Row],[Date]],"yyyy")</f>
        <v>2025</v>
      </c>
      <c r="F42" s="6">
        <v>269.8</v>
      </c>
      <c r="G42" s="6">
        <v>274.89999999999998</v>
      </c>
      <c r="H42" s="6">
        <v>269</v>
      </c>
      <c r="I42" s="6">
        <v>269.8</v>
      </c>
      <c r="J42" s="6">
        <v>269.8</v>
      </c>
      <c r="K42" s="13">
        <v>-1.24E-2</v>
      </c>
      <c r="L42" s="8">
        <v>255073</v>
      </c>
      <c r="M42" s="17"/>
      <c r="N42" s="17"/>
      <c r="O42" s="17"/>
    </row>
    <row r="43" spans="1:15" ht="15" thickBot="1" x14ac:dyDescent="0.4">
      <c r="A43" s="9">
        <v>46000</v>
      </c>
      <c r="B43" s="21" t="str">
        <f>TEXT(Table1[[#This Row],[Date]],"dddd")</f>
        <v>Tuesday</v>
      </c>
      <c r="C43" s="21" t="str">
        <f>TEXT(Table1[[#This Row],[Date]],"mmmm")</f>
        <v>December</v>
      </c>
      <c r="D43" s="21" t="str">
        <f>"Q"&amp;ROUNDUP(MONTH(Table1[[#This Row],[Date]])/3,0)</f>
        <v>Q4</v>
      </c>
      <c r="E43" s="21" t="str">
        <f>TEXT(Table1[[#This Row],[Date]],"yyyy")</f>
        <v>2025</v>
      </c>
      <c r="F43" s="10">
        <v>273.2</v>
      </c>
      <c r="G43" s="10">
        <v>279</v>
      </c>
      <c r="H43" s="10">
        <v>272</v>
      </c>
      <c r="I43" s="10">
        <v>273.2</v>
      </c>
      <c r="J43" s="10">
        <v>273.2</v>
      </c>
      <c r="K43" s="14">
        <v>-1.7299999999999999E-2</v>
      </c>
      <c r="L43" s="12">
        <v>133153</v>
      </c>
      <c r="M43" s="18"/>
      <c r="N43" s="18"/>
      <c r="O43" s="18"/>
    </row>
    <row r="44" spans="1:15" ht="15" thickBot="1" x14ac:dyDescent="0.4">
      <c r="A44" s="5">
        <v>45999</v>
      </c>
      <c r="B44" s="20" t="str">
        <f>TEXT(Table1[[#This Row],[Date]],"dddd")</f>
        <v>Monday</v>
      </c>
      <c r="C44" s="20" t="str">
        <f>TEXT(Table1[[#This Row],[Date]],"mmmm")</f>
        <v>December</v>
      </c>
      <c r="D44" s="20" t="str">
        <f>"Q"&amp;ROUNDUP(MONTH(Table1[[#This Row],[Date]])/3,0)</f>
        <v>Q4</v>
      </c>
      <c r="E44" s="20" t="str">
        <f>TEXT(Table1[[#This Row],[Date]],"yyyy")</f>
        <v>2025</v>
      </c>
      <c r="F44" s="6">
        <v>278.7</v>
      </c>
      <c r="G44" s="6">
        <v>279.10000000000002</v>
      </c>
      <c r="H44" s="6">
        <v>278</v>
      </c>
      <c r="I44" s="6">
        <v>278</v>
      </c>
      <c r="J44" s="6">
        <v>278</v>
      </c>
      <c r="K44" s="13">
        <v>-6.9999999999999999E-4</v>
      </c>
      <c r="L44" s="8">
        <v>26336</v>
      </c>
      <c r="M44" s="17"/>
      <c r="N44" s="17"/>
      <c r="O44" s="17"/>
    </row>
    <row r="45" spans="1:15" ht="15" thickBot="1" x14ac:dyDescent="0.4">
      <c r="A45" s="9">
        <v>45998</v>
      </c>
      <c r="B45" s="21" t="str">
        <f>TEXT(Table1[[#This Row],[Date]],"dddd")</f>
        <v>Sunday</v>
      </c>
      <c r="C45" s="21" t="str">
        <f>TEXT(Table1[[#This Row],[Date]],"mmmm")</f>
        <v>December</v>
      </c>
      <c r="D45" s="21" t="str">
        <f>"Q"&amp;ROUNDUP(MONTH(Table1[[#This Row],[Date]])/3,0)</f>
        <v>Q4</v>
      </c>
      <c r="E45" s="21" t="str">
        <f>TEXT(Table1[[#This Row],[Date]],"yyyy")</f>
        <v>2025</v>
      </c>
      <c r="F45" s="10">
        <v>278.5</v>
      </c>
      <c r="G45" s="10">
        <v>279.3</v>
      </c>
      <c r="H45" s="10">
        <v>278</v>
      </c>
      <c r="I45" s="10">
        <v>278.2</v>
      </c>
      <c r="J45" s="10">
        <v>278.2</v>
      </c>
      <c r="K45" s="14">
        <v>-2.8999999999999998E-3</v>
      </c>
      <c r="L45" s="12">
        <v>23469</v>
      </c>
      <c r="M45" s="18"/>
      <c r="N45" s="18"/>
      <c r="O45" s="18"/>
    </row>
    <row r="46" spans="1:15" ht="15" thickBot="1" x14ac:dyDescent="0.4">
      <c r="A46" s="5">
        <v>45995</v>
      </c>
      <c r="B46" s="20" t="str">
        <f>TEXT(Table1[[#This Row],[Date]],"dddd")</f>
        <v>Thursday</v>
      </c>
      <c r="C46" s="20" t="str">
        <f>TEXT(Table1[[#This Row],[Date]],"mmmm")</f>
        <v>December</v>
      </c>
      <c r="D46" s="20" t="str">
        <f>"Q"&amp;ROUNDUP(MONTH(Table1[[#This Row],[Date]])/3,0)</f>
        <v>Q4</v>
      </c>
      <c r="E46" s="20" t="str">
        <f>TEXT(Table1[[#This Row],[Date]],"yyyy")</f>
        <v>2025</v>
      </c>
      <c r="F46" s="6">
        <v>279</v>
      </c>
      <c r="G46" s="6">
        <v>280.39999999999998</v>
      </c>
      <c r="H46" s="6">
        <v>278.5</v>
      </c>
      <c r="I46" s="6">
        <v>279</v>
      </c>
      <c r="J46" s="6">
        <v>279</v>
      </c>
      <c r="K46" s="13">
        <v>-3.8999999999999998E-3</v>
      </c>
      <c r="L46" s="8">
        <v>14810</v>
      </c>
      <c r="M46" s="17"/>
      <c r="N46" s="17"/>
      <c r="O46" s="17"/>
    </row>
    <row r="47" spans="1:15" ht="15" thickBot="1" x14ac:dyDescent="0.4">
      <c r="A47" s="9">
        <v>45994</v>
      </c>
      <c r="B47" s="21" t="str">
        <f>TEXT(Table1[[#This Row],[Date]],"dddd")</f>
        <v>Wednesday</v>
      </c>
      <c r="C47" s="21" t="str">
        <f>TEXT(Table1[[#This Row],[Date]],"mmmm")</f>
        <v>December</v>
      </c>
      <c r="D47" s="21" t="str">
        <f>"Q"&amp;ROUNDUP(MONTH(Table1[[#This Row],[Date]])/3,0)</f>
        <v>Q4</v>
      </c>
      <c r="E47" s="21" t="str">
        <f>TEXT(Table1[[#This Row],[Date]],"yyyy")</f>
        <v>2025</v>
      </c>
      <c r="F47" s="10">
        <v>280.10000000000002</v>
      </c>
      <c r="G47" s="10">
        <v>282</v>
      </c>
      <c r="H47" s="10">
        <v>280</v>
      </c>
      <c r="I47" s="10">
        <v>280.10000000000002</v>
      </c>
      <c r="J47" s="10">
        <v>280.10000000000002</v>
      </c>
      <c r="K47" s="11">
        <v>1.4E-3</v>
      </c>
      <c r="L47" s="12">
        <v>20249</v>
      </c>
      <c r="M47" s="18"/>
      <c r="N47" s="18"/>
      <c r="O47" s="18"/>
    </row>
    <row r="48" spans="1:15" ht="15" thickBot="1" x14ac:dyDescent="0.4">
      <c r="A48" s="5">
        <v>45993</v>
      </c>
      <c r="B48" s="20" t="str">
        <f>TEXT(Table1[[#This Row],[Date]],"dddd")</f>
        <v>Tuesday</v>
      </c>
      <c r="C48" s="20" t="str">
        <f>TEXT(Table1[[#This Row],[Date]],"mmmm")</f>
        <v>December</v>
      </c>
      <c r="D48" s="20" t="str">
        <f>"Q"&amp;ROUNDUP(MONTH(Table1[[#This Row],[Date]])/3,0)</f>
        <v>Q4</v>
      </c>
      <c r="E48" s="20" t="str">
        <f>TEXT(Table1[[#This Row],[Date]],"yyyy")</f>
        <v>2025</v>
      </c>
      <c r="F48" s="6">
        <v>279.7</v>
      </c>
      <c r="G48" s="6">
        <v>280.5</v>
      </c>
      <c r="H48" s="6">
        <v>277.5</v>
      </c>
      <c r="I48" s="6">
        <v>279.7</v>
      </c>
      <c r="J48" s="6">
        <v>279.7</v>
      </c>
      <c r="K48" s="7">
        <v>7.6E-3</v>
      </c>
      <c r="L48" s="8">
        <v>22108</v>
      </c>
      <c r="M48" s="17"/>
      <c r="N48" s="17"/>
      <c r="O48" s="17"/>
    </row>
    <row r="49" spans="1:15" ht="15" thickBot="1" x14ac:dyDescent="0.4">
      <c r="A49" s="9">
        <v>45992</v>
      </c>
      <c r="B49" s="21" t="str">
        <f>TEXT(Table1[[#This Row],[Date]],"dddd")</f>
        <v>Monday</v>
      </c>
      <c r="C49" s="21" t="str">
        <f>TEXT(Table1[[#This Row],[Date]],"mmmm")</f>
        <v>December</v>
      </c>
      <c r="D49" s="21" t="str">
        <f>"Q"&amp;ROUNDUP(MONTH(Table1[[#This Row],[Date]])/3,0)</f>
        <v>Q4</v>
      </c>
      <c r="E49" s="21" t="str">
        <f>TEXT(Table1[[#This Row],[Date]],"yyyy")</f>
        <v>2025</v>
      </c>
      <c r="F49" s="10">
        <v>277.60000000000002</v>
      </c>
      <c r="G49" s="10">
        <v>280</v>
      </c>
      <c r="H49" s="10">
        <v>277</v>
      </c>
      <c r="I49" s="10">
        <v>277.60000000000002</v>
      </c>
      <c r="J49" s="10">
        <v>277.60000000000002</v>
      </c>
      <c r="K49" s="14">
        <v>-6.7999999999999996E-3</v>
      </c>
      <c r="L49" s="12">
        <v>48400</v>
      </c>
      <c r="M49" s="18"/>
      <c r="N49" s="18"/>
      <c r="O49" s="18"/>
    </row>
    <row r="50" spans="1:15" ht="15" thickBot="1" x14ac:dyDescent="0.4">
      <c r="A50" s="5">
        <v>45991</v>
      </c>
      <c r="B50" s="20" t="str">
        <f>TEXT(Table1[[#This Row],[Date]],"dddd")</f>
        <v>Sunday</v>
      </c>
      <c r="C50" s="20" t="str">
        <f>TEXT(Table1[[#This Row],[Date]],"mmmm")</f>
        <v>November</v>
      </c>
      <c r="D50" s="20" t="str">
        <f>"Q"&amp;ROUNDUP(MONTH(Table1[[#This Row],[Date]])/3,0)</f>
        <v>Q4</v>
      </c>
      <c r="E50" s="20" t="str">
        <f>TEXT(Table1[[#This Row],[Date]],"yyyy")</f>
        <v>2025</v>
      </c>
      <c r="F50" s="6">
        <v>278.39999999999998</v>
      </c>
      <c r="G50" s="6">
        <v>282</v>
      </c>
      <c r="H50" s="6">
        <v>276</v>
      </c>
      <c r="I50" s="6">
        <v>279.5</v>
      </c>
      <c r="J50" s="6">
        <v>279.5</v>
      </c>
      <c r="K50" s="7">
        <v>4.0000000000000001E-3</v>
      </c>
      <c r="L50" s="8">
        <v>30481</v>
      </c>
      <c r="M50" s="17"/>
      <c r="N50" s="17"/>
      <c r="O50" s="17"/>
    </row>
    <row r="51" spans="1:15" ht="15" thickBot="1" x14ac:dyDescent="0.4">
      <c r="A51" s="9">
        <v>45988</v>
      </c>
      <c r="B51" s="21" t="str">
        <f>TEXT(Table1[[#This Row],[Date]],"dddd")</f>
        <v>Thursday</v>
      </c>
      <c r="C51" s="21" t="str">
        <f>TEXT(Table1[[#This Row],[Date]],"mmmm")</f>
        <v>November</v>
      </c>
      <c r="D51" s="21" t="str">
        <f>"Q"&amp;ROUNDUP(MONTH(Table1[[#This Row],[Date]])/3,0)</f>
        <v>Q4</v>
      </c>
      <c r="E51" s="21" t="str">
        <f>TEXT(Table1[[#This Row],[Date]],"yyyy")</f>
        <v>2025</v>
      </c>
      <c r="F51" s="10">
        <v>277.89999999999998</v>
      </c>
      <c r="G51" s="10">
        <v>280</v>
      </c>
      <c r="H51" s="10">
        <v>275.5</v>
      </c>
      <c r="I51" s="10">
        <v>278.39999999999998</v>
      </c>
      <c r="J51" s="10">
        <v>278.39999999999998</v>
      </c>
      <c r="K51" s="11">
        <v>1.8E-3</v>
      </c>
      <c r="L51" s="12">
        <v>34581</v>
      </c>
      <c r="M51" s="18"/>
      <c r="N51" s="18"/>
      <c r="O51" s="18"/>
    </row>
    <row r="52" spans="1:15" ht="15" thickBot="1" x14ac:dyDescent="0.4">
      <c r="A52" s="5">
        <v>45987</v>
      </c>
      <c r="B52" s="20" t="str">
        <f>TEXT(Table1[[#This Row],[Date]],"dddd")</f>
        <v>Wednesday</v>
      </c>
      <c r="C52" s="20" t="str">
        <f>TEXT(Table1[[#This Row],[Date]],"mmmm")</f>
        <v>November</v>
      </c>
      <c r="D52" s="20" t="str">
        <f>"Q"&amp;ROUNDUP(MONTH(Table1[[#This Row],[Date]])/3,0)</f>
        <v>Q4</v>
      </c>
      <c r="E52" s="20" t="str">
        <f>TEXT(Table1[[#This Row],[Date]],"yyyy")</f>
        <v>2025</v>
      </c>
      <c r="F52" s="6">
        <v>277.89999999999998</v>
      </c>
      <c r="G52" s="6">
        <v>278.5</v>
      </c>
      <c r="H52" s="6">
        <v>276.5</v>
      </c>
      <c r="I52" s="6">
        <v>277.89999999999998</v>
      </c>
      <c r="J52" s="6">
        <v>277.89999999999998</v>
      </c>
      <c r="K52" s="7">
        <v>1.4E-3</v>
      </c>
      <c r="L52" s="8">
        <v>21674</v>
      </c>
      <c r="M52" s="17"/>
      <c r="N52" s="17"/>
      <c r="O52" s="17"/>
    </row>
    <row r="53" spans="1:15" ht="15" thickBot="1" x14ac:dyDescent="0.4">
      <c r="A53" s="9">
        <v>45986</v>
      </c>
      <c r="B53" s="21" t="str">
        <f>TEXT(Table1[[#This Row],[Date]],"dddd")</f>
        <v>Tuesday</v>
      </c>
      <c r="C53" s="21" t="str">
        <f>TEXT(Table1[[#This Row],[Date]],"mmmm")</f>
        <v>November</v>
      </c>
      <c r="D53" s="21" t="str">
        <f>"Q"&amp;ROUNDUP(MONTH(Table1[[#This Row],[Date]])/3,0)</f>
        <v>Q4</v>
      </c>
      <c r="E53" s="21" t="str">
        <f>TEXT(Table1[[#This Row],[Date]],"yyyy")</f>
        <v>2025</v>
      </c>
      <c r="F53" s="10">
        <v>277.5</v>
      </c>
      <c r="G53" s="10">
        <v>278</v>
      </c>
      <c r="H53" s="10">
        <v>275</v>
      </c>
      <c r="I53" s="10">
        <v>277.5</v>
      </c>
      <c r="J53" s="10">
        <v>277.5</v>
      </c>
      <c r="K53" s="11">
        <v>8.3999999999999995E-3</v>
      </c>
      <c r="L53" s="12">
        <v>74687</v>
      </c>
      <c r="M53" s="18"/>
      <c r="N53" s="18"/>
      <c r="O53" s="18"/>
    </row>
    <row r="54" spans="1:15" ht="15" thickBot="1" x14ac:dyDescent="0.4">
      <c r="A54" s="5">
        <v>45985</v>
      </c>
      <c r="B54" s="20" t="str">
        <f>TEXT(Table1[[#This Row],[Date]],"dddd")</f>
        <v>Monday</v>
      </c>
      <c r="C54" s="20" t="str">
        <f>TEXT(Table1[[#This Row],[Date]],"mmmm")</f>
        <v>November</v>
      </c>
      <c r="D54" s="20" t="str">
        <f>"Q"&amp;ROUNDUP(MONTH(Table1[[#This Row],[Date]])/3,0)</f>
        <v>Q4</v>
      </c>
      <c r="E54" s="20" t="str">
        <f>TEXT(Table1[[#This Row],[Date]],"yyyy")</f>
        <v>2025</v>
      </c>
      <c r="F54" s="6">
        <v>275.2</v>
      </c>
      <c r="G54" s="6">
        <v>276</v>
      </c>
      <c r="H54" s="6">
        <v>273.89999999999998</v>
      </c>
      <c r="I54" s="6">
        <v>275.2</v>
      </c>
      <c r="J54" s="6">
        <v>275.2</v>
      </c>
      <c r="K54" s="7">
        <v>4.4000000000000003E-3</v>
      </c>
      <c r="L54" s="8">
        <v>58090</v>
      </c>
      <c r="M54" s="17"/>
      <c r="N54" s="17"/>
      <c r="O54" s="17"/>
    </row>
    <row r="55" spans="1:15" ht="15" thickBot="1" x14ac:dyDescent="0.4">
      <c r="A55" s="9">
        <v>45984</v>
      </c>
      <c r="B55" s="21" t="str">
        <f>TEXT(Table1[[#This Row],[Date]],"dddd")</f>
        <v>Sunday</v>
      </c>
      <c r="C55" s="21" t="str">
        <f>TEXT(Table1[[#This Row],[Date]],"mmmm")</f>
        <v>November</v>
      </c>
      <c r="D55" s="21" t="str">
        <f>"Q"&amp;ROUNDUP(MONTH(Table1[[#This Row],[Date]])/3,0)</f>
        <v>Q4</v>
      </c>
      <c r="E55" s="21" t="str">
        <f>TEXT(Table1[[#This Row],[Date]],"yyyy")</f>
        <v>2025</v>
      </c>
      <c r="F55" s="10">
        <v>273.3</v>
      </c>
      <c r="G55" s="10">
        <v>274.39999999999998</v>
      </c>
      <c r="H55" s="10">
        <v>272</v>
      </c>
      <c r="I55" s="10">
        <v>274</v>
      </c>
      <c r="J55" s="10">
        <v>274</v>
      </c>
      <c r="K55" s="11">
        <v>2.5999999999999999E-3</v>
      </c>
      <c r="L55" s="12">
        <v>31513</v>
      </c>
      <c r="M55" s="18"/>
      <c r="N55" s="18"/>
      <c r="O55" s="18"/>
    </row>
    <row r="56" spans="1:15" ht="15" thickBot="1" x14ac:dyDescent="0.4">
      <c r="A56" s="5">
        <v>45981</v>
      </c>
      <c r="B56" s="20" t="str">
        <f>TEXT(Table1[[#This Row],[Date]],"dddd")</f>
        <v>Thursday</v>
      </c>
      <c r="C56" s="20" t="str">
        <f>TEXT(Table1[[#This Row],[Date]],"mmmm")</f>
        <v>November</v>
      </c>
      <c r="D56" s="20" t="str">
        <f>"Q"&amp;ROUNDUP(MONTH(Table1[[#This Row],[Date]])/3,0)</f>
        <v>Q4</v>
      </c>
      <c r="E56" s="20" t="str">
        <f>TEXT(Table1[[#This Row],[Date]],"yyyy")</f>
        <v>2025</v>
      </c>
      <c r="F56" s="6">
        <v>273.3</v>
      </c>
      <c r="G56" s="6">
        <v>278.10000000000002</v>
      </c>
      <c r="H56" s="6">
        <v>272.10000000000002</v>
      </c>
      <c r="I56" s="6">
        <v>273.3</v>
      </c>
      <c r="J56" s="6">
        <v>273.3</v>
      </c>
      <c r="K56" s="13">
        <v>-2.2000000000000001E-3</v>
      </c>
      <c r="L56" s="8">
        <v>36914</v>
      </c>
      <c r="M56" s="17"/>
      <c r="N56" s="17"/>
      <c r="O56" s="17"/>
    </row>
    <row r="57" spans="1:15" ht="15" thickBot="1" x14ac:dyDescent="0.4">
      <c r="A57" s="9">
        <v>45980</v>
      </c>
      <c r="B57" s="21" t="str">
        <f>TEXT(Table1[[#This Row],[Date]],"dddd")</f>
        <v>Wednesday</v>
      </c>
      <c r="C57" s="21" t="str">
        <f>TEXT(Table1[[#This Row],[Date]],"mmmm")</f>
        <v>November</v>
      </c>
      <c r="D57" s="21" t="str">
        <f>"Q"&amp;ROUNDUP(MONTH(Table1[[#This Row],[Date]])/3,0)</f>
        <v>Q4</v>
      </c>
      <c r="E57" s="21" t="str">
        <f>TEXT(Table1[[#This Row],[Date]],"yyyy")</f>
        <v>2025</v>
      </c>
      <c r="F57" s="10">
        <v>277.5</v>
      </c>
      <c r="G57" s="10">
        <v>277.5</v>
      </c>
      <c r="H57" s="10">
        <v>271.89999999999998</v>
      </c>
      <c r="I57" s="10">
        <v>273.89999999999998</v>
      </c>
      <c r="J57" s="10">
        <v>273.89999999999998</v>
      </c>
      <c r="K57" s="11">
        <v>5.4999999999999997E-3</v>
      </c>
      <c r="L57" s="12">
        <v>92395</v>
      </c>
      <c r="M57" s="18"/>
      <c r="N57" s="18"/>
      <c r="O57" s="18"/>
    </row>
    <row r="58" spans="1:15" ht="15" thickBot="1" x14ac:dyDescent="0.4">
      <c r="A58" s="5">
        <v>45979</v>
      </c>
      <c r="B58" s="20" t="str">
        <f>TEXT(Table1[[#This Row],[Date]],"dddd")</f>
        <v>Tuesday</v>
      </c>
      <c r="C58" s="20" t="str">
        <f>TEXT(Table1[[#This Row],[Date]],"mmmm")</f>
        <v>November</v>
      </c>
      <c r="D58" s="20" t="str">
        <f>"Q"&amp;ROUNDUP(MONTH(Table1[[#This Row],[Date]])/3,0)</f>
        <v>Q4</v>
      </c>
      <c r="E58" s="20" t="str">
        <f>TEXT(Table1[[#This Row],[Date]],"yyyy")</f>
        <v>2025</v>
      </c>
      <c r="F58" s="6">
        <v>276</v>
      </c>
      <c r="G58" s="6">
        <v>278</v>
      </c>
      <c r="H58" s="6">
        <v>271.8</v>
      </c>
      <c r="I58" s="6">
        <v>272.39999999999998</v>
      </c>
      <c r="J58" s="6">
        <v>272.39999999999998</v>
      </c>
      <c r="K58" s="7">
        <v>1.8E-3</v>
      </c>
      <c r="L58" s="8">
        <v>75898</v>
      </c>
      <c r="M58" s="17"/>
      <c r="N58" s="17"/>
      <c r="O58" s="17"/>
    </row>
    <row r="59" spans="1:15" ht="15" thickBot="1" x14ac:dyDescent="0.4">
      <c r="A59" s="9">
        <v>45978</v>
      </c>
      <c r="B59" s="21" t="str">
        <f>TEXT(Table1[[#This Row],[Date]],"dddd")</f>
        <v>Monday</v>
      </c>
      <c r="C59" s="21" t="str">
        <f>TEXT(Table1[[#This Row],[Date]],"mmmm")</f>
        <v>November</v>
      </c>
      <c r="D59" s="21" t="str">
        <f>"Q"&amp;ROUNDUP(MONTH(Table1[[#This Row],[Date]])/3,0)</f>
        <v>Q4</v>
      </c>
      <c r="E59" s="21" t="str">
        <f>TEXT(Table1[[#This Row],[Date]],"yyyy")</f>
        <v>2025</v>
      </c>
      <c r="F59" s="10">
        <v>270</v>
      </c>
      <c r="G59" s="10">
        <v>277</v>
      </c>
      <c r="H59" s="10">
        <v>267</v>
      </c>
      <c r="I59" s="10">
        <v>271.89999999999998</v>
      </c>
      <c r="J59" s="10">
        <v>271.89999999999998</v>
      </c>
      <c r="K59" s="11">
        <v>1.8E-3</v>
      </c>
      <c r="L59" s="12">
        <v>51017</v>
      </c>
      <c r="M59" s="18"/>
      <c r="N59" s="18"/>
      <c r="O59" s="18"/>
    </row>
    <row r="60" spans="1:15" ht="15" thickBot="1" x14ac:dyDescent="0.4">
      <c r="A60" s="5">
        <v>45977</v>
      </c>
      <c r="B60" s="20" t="str">
        <f>TEXT(Table1[[#This Row],[Date]],"dddd")</f>
        <v>Sunday</v>
      </c>
      <c r="C60" s="20" t="str">
        <f>TEXT(Table1[[#This Row],[Date]],"mmmm")</f>
        <v>November</v>
      </c>
      <c r="D60" s="20" t="str">
        <f>"Q"&amp;ROUNDUP(MONTH(Table1[[#This Row],[Date]])/3,0)</f>
        <v>Q4</v>
      </c>
      <c r="E60" s="20" t="str">
        <f>TEXT(Table1[[#This Row],[Date]],"yyyy")</f>
        <v>2025</v>
      </c>
      <c r="F60" s="6">
        <v>279</v>
      </c>
      <c r="G60" s="6">
        <v>279</v>
      </c>
      <c r="H60" s="6">
        <v>263.89999999999998</v>
      </c>
      <c r="I60" s="6">
        <v>271.39999999999998</v>
      </c>
      <c r="J60" s="6">
        <v>271.39999999999998</v>
      </c>
      <c r="K60" s="13">
        <v>-2.0899999999999998E-2</v>
      </c>
      <c r="L60" s="8">
        <v>127815</v>
      </c>
      <c r="M60" s="17"/>
      <c r="N60" s="17"/>
      <c r="O60" s="17"/>
    </row>
    <row r="61" spans="1:15" ht="15" thickBot="1" x14ac:dyDescent="0.4">
      <c r="A61" s="9">
        <v>45974</v>
      </c>
      <c r="B61" s="21" t="str">
        <f>TEXT(Table1[[#This Row],[Date]],"dddd")</f>
        <v>Thursday</v>
      </c>
      <c r="C61" s="21" t="str">
        <f>TEXT(Table1[[#This Row],[Date]],"mmmm")</f>
        <v>November</v>
      </c>
      <c r="D61" s="21" t="str">
        <f>"Q"&amp;ROUNDUP(MONTH(Table1[[#This Row],[Date]])/3,0)</f>
        <v>Q4</v>
      </c>
      <c r="E61" s="21" t="str">
        <f>TEXT(Table1[[#This Row],[Date]],"yyyy")</f>
        <v>2025</v>
      </c>
      <c r="F61" s="10">
        <v>279</v>
      </c>
      <c r="G61" s="10">
        <v>279.89999999999998</v>
      </c>
      <c r="H61" s="10">
        <v>270.2</v>
      </c>
      <c r="I61" s="10">
        <v>277.2</v>
      </c>
      <c r="J61" s="10">
        <v>277.2</v>
      </c>
      <c r="K61" s="14">
        <v>-4.7000000000000002E-3</v>
      </c>
      <c r="L61" s="12">
        <v>31412</v>
      </c>
      <c r="M61" s="18"/>
      <c r="N61" s="18"/>
      <c r="O61" s="18"/>
    </row>
    <row r="62" spans="1:15" ht="15" thickBot="1" x14ac:dyDescent="0.4">
      <c r="A62" s="5">
        <v>45973</v>
      </c>
      <c r="B62" s="20" t="str">
        <f>TEXT(Table1[[#This Row],[Date]],"dddd")</f>
        <v>Wednesday</v>
      </c>
      <c r="C62" s="20" t="str">
        <f>TEXT(Table1[[#This Row],[Date]],"mmmm")</f>
        <v>November</v>
      </c>
      <c r="D62" s="20" t="str">
        <f>"Q"&amp;ROUNDUP(MONTH(Table1[[#This Row],[Date]])/3,0)</f>
        <v>Q4</v>
      </c>
      <c r="E62" s="20" t="str">
        <f>TEXT(Table1[[#This Row],[Date]],"yyyy")</f>
        <v>2025</v>
      </c>
      <c r="F62" s="6">
        <v>278.7</v>
      </c>
      <c r="G62" s="6">
        <v>279.7</v>
      </c>
      <c r="H62" s="6">
        <v>278</v>
      </c>
      <c r="I62" s="6">
        <v>278.5</v>
      </c>
      <c r="J62" s="6">
        <v>278.5</v>
      </c>
      <c r="K62" s="7">
        <v>2.8999999999999998E-3</v>
      </c>
      <c r="L62" s="8">
        <v>32676</v>
      </c>
      <c r="M62" s="17"/>
      <c r="N62" s="17"/>
      <c r="O62" s="17"/>
    </row>
    <row r="63" spans="1:15" ht="15" thickBot="1" x14ac:dyDescent="0.4">
      <c r="A63" s="9">
        <v>45972</v>
      </c>
      <c r="B63" s="21" t="str">
        <f>TEXT(Table1[[#This Row],[Date]],"dddd")</f>
        <v>Tuesday</v>
      </c>
      <c r="C63" s="21" t="str">
        <f>TEXT(Table1[[#This Row],[Date]],"mmmm")</f>
        <v>November</v>
      </c>
      <c r="D63" s="21" t="str">
        <f>"Q"&amp;ROUNDUP(MONTH(Table1[[#This Row],[Date]])/3,0)</f>
        <v>Q4</v>
      </c>
      <c r="E63" s="21" t="str">
        <f>TEXT(Table1[[#This Row],[Date]],"yyyy")</f>
        <v>2025</v>
      </c>
      <c r="F63" s="10">
        <v>276.39999999999998</v>
      </c>
      <c r="G63" s="10">
        <v>279.5</v>
      </c>
      <c r="H63" s="10">
        <v>276.3</v>
      </c>
      <c r="I63" s="10">
        <v>277.7</v>
      </c>
      <c r="J63" s="10">
        <v>277.7</v>
      </c>
      <c r="K63" s="11">
        <v>1.4E-3</v>
      </c>
      <c r="L63" s="12">
        <v>17360</v>
      </c>
      <c r="M63" s="18"/>
      <c r="N63" s="18"/>
      <c r="O63" s="18"/>
    </row>
    <row r="64" spans="1:15" ht="15" thickBot="1" x14ac:dyDescent="0.4">
      <c r="A64" s="5">
        <v>45971</v>
      </c>
      <c r="B64" s="20" t="str">
        <f>TEXT(Table1[[#This Row],[Date]],"dddd")</f>
        <v>Monday</v>
      </c>
      <c r="C64" s="20" t="str">
        <f>TEXT(Table1[[#This Row],[Date]],"mmmm")</f>
        <v>November</v>
      </c>
      <c r="D64" s="20" t="str">
        <f>"Q"&amp;ROUNDUP(MONTH(Table1[[#This Row],[Date]])/3,0)</f>
        <v>Q4</v>
      </c>
      <c r="E64" s="20" t="str">
        <f>TEXT(Table1[[#This Row],[Date]],"yyyy")</f>
        <v>2025</v>
      </c>
      <c r="F64" s="6">
        <v>281.10000000000002</v>
      </c>
      <c r="G64" s="6">
        <v>281.10000000000002</v>
      </c>
      <c r="H64" s="6">
        <v>276.39999999999998</v>
      </c>
      <c r="I64" s="6">
        <v>277.3</v>
      </c>
      <c r="J64" s="6">
        <v>277.3</v>
      </c>
      <c r="K64" s="13">
        <v>-1.35E-2</v>
      </c>
      <c r="L64" s="8">
        <v>57457</v>
      </c>
      <c r="M64" s="17"/>
      <c r="N64" s="17"/>
      <c r="O64" s="17"/>
    </row>
    <row r="65" spans="1:15" ht="15" thickBot="1" x14ac:dyDescent="0.4">
      <c r="A65" s="9">
        <v>45970</v>
      </c>
      <c r="B65" s="21" t="str">
        <f>TEXT(Table1[[#This Row],[Date]],"dddd")</f>
        <v>Sunday</v>
      </c>
      <c r="C65" s="21" t="str">
        <f>TEXT(Table1[[#This Row],[Date]],"mmmm")</f>
        <v>November</v>
      </c>
      <c r="D65" s="21" t="str">
        <f>"Q"&amp;ROUNDUP(MONTH(Table1[[#This Row],[Date]])/3,0)</f>
        <v>Q4</v>
      </c>
      <c r="E65" s="21" t="str">
        <f>TEXT(Table1[[#This Row],[Date]],"yyyy")</f>
        <v>2025</v>
      </c>
      <c r="F65" s="10">
        <v>286</v>
      </c>
      <c r="G65" s="10">
        <v>286</v>
      </c>
      <c r="H65" s="10">
        <v>280.60000000000002</v>
      </c>
      <c r="I65" s="10">
        <v>281.10000000000002</v>
      </c>
      <c r="J65" s="10">
        <v>281.10000000000002</v>
      </c>
      <c r="K65" s="14">
        <v>-6.0000000000000001E-3</v>
      </c>
      <c r="L65" s="12">
        <v>17938</v>
      </c>
      <c r="M65" s="18"/>
      <c r="N65" s="18"/>
      <c r="O65" s="18"/>
    </row>
    <row r="66" spans="1:15" ht="15" thickBot="1" x14ac:dyDescent="0.4">
      <c r="A66" s="5">
        <v>45967</v>
      </c>
      <c r="B66" s="20" t="str">
        <f>TEXT(Table1[[#This Row],[Date]],"dddd")</f>
        <v>Thursday</v>
      </c>
      <c r="C66" s="20" t="str">
        <f>TEXT(Table1[[#This Row],[Date]],"mmmm")</f>
        <v>November</v>
      </c>
      <c r="D66" s="20" t="str">
        <f>"Q"&amp;ROUNDUP(MONTH(Table1[[#This Row],[Date]])/3,0)</f>
        <v>Q4</v>
      </c>
      <c r="E66" s="20" t="str">
        <f>TEXT(Table1[[#This Row],[Date]],"yyyy")</f>
        <v>2025</v>
      </c>
      <c r="F66" s="6">
        <v>283.8</v>
      </c>
      <c r="G66" s="6">
        <v>284</v>
      </c>
      <c r="H66" s="6">
        <v>281</v>
      </c>
      <c r="I66" s="6">
        <v>282.8</v>
      </c>
      <c r="J66" s="6">
        <v>282.8</v>
      </c>
      <c r="K66" s="13">
        <v>-5.3E-3</v>
      </c>
      <c r="L66" s="8">
        <v>17031</v>
      </c>
      <c r="M66" s="17"/>
      <c r="N66" s="17"/>
      <c r="O66" s="17"/>
    </row>
    <row r="67" spans="1:15" ht="15" thickBot="1" x14ac:dyDescent="0.4">
      <c r="A67" s="9">
        <v>45966</v>
      </c>
      <c r="B67" s="21" t="str">
        <f>TEXT(Table1[[#This Row],[Date]],"dddd")</f>
        <v>Wednesday</v>
      </c>
      <c r="C67" s="21" t="str">
        <f>TEXT(Table1[[#This Row],[Date]],"mmmm")</f>
        <v>November</v>
      </c>
      <c r="D67" s="21" t="str">
        <f>"Q"&amp;ROUNDUP(MONTH(Table1[[#This Row],[Date]])/3,0)</f>
        <v>Q4</v>
      </c>
      <c r="E67" s="21" t="str">
        <f>TEXT(Table1[[#This Row],[Date]],"yyyy")</f>
        <v>2025</v>
      </c>
      <c r="F67" s="10">
        <v>286</v>
      </c>
      <c r="G67" s="10">
        <v>286</v>
      </c>
      <c r="H67" s="10">
        <v>282.5</v>
      </c>
      <c r="I67" s="10">
        <v>284.3</v>
      </c>
      <c r="J67" s="10">
        <v>284.3</v>
      </c>
      <c r="K67" s="11">
        <v>3.5000000000000001E-3</v>
      </c>
      <c r="L67" s="12">
        <v>21792</v>
      </c>
      <c r="M67" s="18"/>
      <c r="N67" s="18"/>
      <c r="O67" s="18"/>
    </row>
    <row r="68" spans="1:15" ht="15" thickBot="1" x14ac:dyDescent="0.4">
      <c r="A68" s="5">
        <v>45965</v>
      </c>
      <c r="B68" s="20" t="str">
        <f>TEXT(Table1[[#This Row],[Date]],"dddd")</f>
        <v>Tuesday</v>
      </c>
      <c r="C68" s="20" t="str">
        <f>TEXT(Table1[[#This Row],[Date]],"mmmm")</f>
        <v>November</v>
      </c>
      <c r="D68" s="20" t="str">
        <f>"Q"&amp;ROUNDUP(MONTH(Table1[[#This Row],[Date]])/3,0)</f>
        <v>Q4</v>
      </c>
      <c r="E68" s="20" t="str">
        <f>TEXT(Table1[[#This Row],[Date]],"yyyy")</f>
        <v>2025</v>
      </c>
      <c r="F68" s="6">
        <v>284</v>
      </c>
      <c r="G68" s="6">
        <v>284</v>
      </c>
      <c r="H68" s="6">
        <v>281.5</v>
      </c>
      <c r="I68" s="6">
        <v>283.3</v>
      </c>
      <c r="J68" s="6">
        <v>283.3</v>
      </c>
      <c r="K68" s="7">
        <v>7.7999999999999996E-3</v>
      </c>
      <c r="L68" s="8">
        <v>24447</v>
      </c>
      <c r="M68" s="17"/>
      <c r="N68" s="17"/>
      <c r="O68" s="17"/>
    </row>
    <row r="69" spans="1:15" ht="15" thickBot="1" x14ac:dyDescent="0.4">
      <c r="A69" s="9">
        <v>45964</v>
      </c>
      <c r="B69" s="21" t="str">
        <f>TEXT(Table1[[#This Row],[Date]],"dddd")</f>
        <v>Monday</v>
      </c>
      <c r="C69" s="21" t="str">
        <f>TEXT(Table1[[#This Row],[Date]],"mmmm")</f>
        <v>November</v>
      </c>
      <c r="D69" s="21" t="str">
        <f>"Q"&amp;ROUNDUP(MONTH(Table1[[#This Row],[Date]])/3,0)</f>
        <v>Q4</v>
      </c>
      <c r="E69" s="21" t="str">
        <f>TEXT(Table1[[#This Row],[Date]],"yyyy")</f>
        <v>2025</v>
      </c>
      <c r="F69" s="10">
        <v>282.8</v>
      </c>
      <c r="G69" s="10">
        <v>282.8</v>
      </c>
      <c r="H69" s="10">
        <v>280</v>
      </c>
      <c r="I69" s="10">
        <v>281.10000000000002</v>
      </c>
      <c r="J69" s="10">
        <v>281.10000000000002</v>
      </c>
      <c r="K69" s="14">
        <v>-1.8E-3</v>
      </c>
      <c r="L69" s="12">
        <v>25798</v>
      </c>
      <c r="M69" s="18"/>
      <c r="N69" s="18"/>
      <c r="O69" s="18"/>
    </row>
    <row r="70" spans="1:15" ht="15" thickBot="1" x14ac:dyDescent="0.4">
      <c r="A70" s="5">
        <v>45963</v>
      </c>
      <c r="B70" s="20" t="str">
        <f>TEXT(Table1[[#This Row],[Date]],"dddd")</f>
        <v>Sunday</v>
      </c>
      <c r="C70" s="20" t="str">
        <f>TEXT(Table1[[#This Row],[Date]],"mmmm")</f>
        <v>November</v>
      </c>
      <c r="D70" s="20" t="str">
        <f>"Q"&amp;ROUNDUP(MONTH(Table1[[#This Row],[Date]])/3,0)</f>
        <v>Q4</v>
      </c>
      <c r="E70" s="20" t="str">
        <f>TEXT(Table1[[#This Row],[Date]],"yyyy")</f>
        <v>2025</v>
      </c>
      <c r="F70" s="6">
        <v>283.39999999999998</v>
      </c>
      <c r="G70" s="6">
        <v>285.60000000000002</v>
      </c>
      <c r="H70" s="6">
        <v>281.2</v>
      </c>
      <c r="I70" s="6">
        <v>281.60000000000002</v>
      </c>
      <c r="J70" s="6">
        <v>281.60000000000002</v>
      </c>
      <c r="K70" s="13">
        <v>-6.4000000000000003E-3</v>
      </c>
      <c r="L70" s="8">
        <v>29171</v>
      </c>
      <c r="M70" s="17"/>
      <c r="N70" s="17"/>
      <c r="O70" s="17"/>
    </row>
    <row r="71" spans="1:15" ht="15" thickBot="1" x14ac:dyDescent="0.4">
      <c r="A71" s="9">
        <v>45960</v>
      </c>
      <c r="B71" s="21" t="str">
        <f>TEXT(Table1[[#This Row],[Date]],"dddd")</f>
        <v>Thursday</v>
      </c>
      <c r="C71" s="21" t="str">
        <f>TEXT(Table1[[#This Row],[Date]],"mmmm")</f>
        <v>October</v>
      </c>
      <c r="D71" s="21" t="str">
        <f>"Q"&amp;ROUNDUP(MONTH(Table1[[#This Row],[Date]])/3,0)</f>
        <v>Q4</v>
      </c>
      <c r="E71" s="21" t="str">
        <f>TEXT(Table1[[#This Row],[Date]],"yyyy")</f>
        <v>2025</v>
      </c>
      <c r="F71" s="10">
        <v>278</v>
      </c>
      <c r="G71" s="10">
        <v>285</v>
      </c>
      <c r="H71" s="10">
        <v>278</v>
      </c>
      <c r="I71" s="10">
        <v>283.39999999999998</v>
      </c>
      <c r="J71" s="10">
        <v>283.39999999999998</v>
      </c>
      <c r="K71" s="11">
        <v>1.6899999999999998E-2</v>
      </c>
      <c r="L71" s="12">
        <v>17350</v>
      </c>
      <c r="M71" s="18"/>
      <c r="N71" s="18"/>
      <c r="O71" s="18"/>
    </row>
    <row r="72" spans="1:15" ht="15" thickBot="1" x14ac:dyDescent="0.4">
      <c r="A72" s="5">
        <v>45959</v>
      </c>
      <c r="B72" s="20" t="str">
        <f>TEXT(Table1[[#This Row],[Date]],"dddd")</f>
        <v>Wednesday</v>
      </c>
      <c r="C72" s="20" t="str">
        <f>TEXT(Table1[[#This Row],[Date]],"mmmm")</f>
        <v>October</v>
      </c>
      <c r="D72" s="20" t="str">
        <f>"Q"&amp;ROUNDUP(MONTH(Table1[[#This Row],[Date]])/3,0)</f>
        <v>Q4</v>
      </c>
      <c r="E72" s="20" t="str">
        <f>TEXT(Table1[[#This Row],[Date]],"yyyy")</f>
        <v>2025</v>
      </c>
      <c r="F72" s="6">
        <v>283</v>
      </c>
      <c r="G72" s="6">
        <v>283</v>
      </c>
      <c r="H72" s="6">
        <v>277.8</v>
      </c>
      <c r="I72" s="6">
        <v>278.7</v>
      </c>
      <c r="J72" s="6">
        <v>278.7</v>
      </c>
      <c r="K72" s="13">
        <v>-8.2000000000000007E-3</v>
      </c>
      <c r="L72" s="8">
        <v>56682</v>
      </c>
      <c r="M72" s="17"/>
      <c r="N72" s="17"/>
      <c r="O72" s="17"/>
    </row>
    <row r="73" spans="1:15" ht="15" thickBot="1" x14ac:dyDescent="0.4">
      <c r="A73" s="9">
        <v>45958</v>
      </c>
      <c r="B73" s="21" t="str">
        <f>TEXT(Table1[[#This Row],[Date]],"dddd")</f>
        <v>Tuesday</v>
      </c>
      <c r="C73" s="21" t="str">
        <f>TEXT(Table1[[#This Row],[Date]],"mmmm")</f>
        <v>October</v>
      </c>
      <c r="D73" s="21" t="str">
        <f>"Q"&amp;ROUNDUP(MONTH(Table1[[#This Row],[Date]])/3,0)</f>
        <v>Q4</v>
      </c>
      <c r="E73" s="21" t="str">
        <f>TEXT(Table1[[#This Row],[Date]],"yyyy")</f>
        <v>2025</v>
      </c>
      <c r="F73" s="10">
        <v>282.7</v>
      </c>
      <c r="G73" s="10">
        <v>283.8</v>
      </c>
      <c r="H73" s="10">
        <v>280.5</v>
      </c>
      <c r="I73" s="10">
        <v>281</v>
      </c>
      <c r="J73" s="10">
        <v>281</v>
      </c>
      <c r="K73" s="14">
        <v>-5.3E-3</v>
      </c>
      <c r="L73" s="12">
        <v>69277</v>
      </c>
      <c r="M73" s="18"/>
      <c r="N73" s="18"/>
      <c r="O73" s="18"/>
    </row>
    <row r="74" spans="1:15" ht="15" thickBot="1" x14ac:dyDescent="0.4">
      <c r="A74" s="5">
        <v>45957</v>
      </c>
      <c r="B74" s="20" t="str">
        <f>TEXT(Table1[[#This Row],[Date]],"dddd")</f>
        <v>Monday</v>
      </c>
      <c r="C74" s="20" t="str">
        <f>TEXT(Table1[[#This Row],[Date]],"mmmm")</f>
        <v>October</v>
      </c>
      <c r="D74" s="20" t="str">
        <f>"Q"&amp;ROUNDUP(MONTH(Table1[[#This Row],[Date]])/3,0)</f>
        <v>Q4</v>
      </c>
      <c r="E74" s="20" t="str">
        <f>TEXT(Table1[[#This Row],[Date]],"yyyy")</f>
        <v>2025</v>
      </c>
      <c r="F74" s="6">
        <v>286.10000000000002</v>
      </c>
      <c r="G74" s="6">
        <v>286.10000000000002</v>
      </c>
      <c r="H74" s="6">
        <v>282</v>
      </c>
      <c r="I74" s="6">
        <v>282.5</v>
      </c>
      <c r="J74" s="6">
        <v>282.5</v>
      </c>
      <c r="K74" s="13">
        <v>-1.26E-2</v>
      </c>
      <c r="L74" s="8">
        <v>77180</v>
      </c>
      <c r="M74" s="17"/>
      <c r="N74" s="17"/>
      <c r="O74" s="17"/>
    </row>
    <row r="75" spans="1:15" ht="15" thickBot="1" x14ac:dyDescent="0.4">
      <c r="A75" s="9">
        <v>45956</v>
      </c>
      <c r="B75" s="21" t="str">
        <f>TEXT(Table1[[#This Row],[Date]],"dddd")</f>
        <v>Sunday</v>
      </c>
      <c r="C75" s="21" t="str">
        <f>TEXT(Table1[[#This Row],[Date]],"mmmm")</f>
        <v>October</v>
      </c>
      <c r="D75" s="21" t="str">
        <f>"Q"&amp;ROUNDUP(MONTH(Table1[[#This Row],[Date]])/3,0)</f>
        <v>Q4</v>
      </c>
      <c r="E75" s="21" t="str">
        <f>TEXT(Table1[[#This Row],[Date]],"yyyy")</f>
        <v>2025</v>
      </c>
      <c r="F75" s="10">
        <v>288.39999999999998</v>
      </c>
      <c r="G75" s="10">
        <v>288.39999999999998</v>
      </c>
      <c r="H75" s="10">
        <v>285</v>
      </c>
      <c r="I75" s="10">
        <v>286.10000000000002</v>
      </c>
      <c r="J75" s="10">
        <v>286.10000000000002</v>
      </c>
      <c r="K75" s="14">
        <v>-5.8999999999999999E-3</v>
      </c>
      <c r="L75" s="12">
        <v>39089</v>
      </c>
      <c r="M75" s="18"/>
      <c r="N75" s="18"/>
      <c r="O75" s="18"/>
    </row>
    <row r="76" spans="1:15" ht="15" thickBot="1" x14ac:dyDescent="0.4">
      <c r="A76" s="5">
        <v>45953</v>
      </c>
      <c r="B76" s="20" t="str">
        <f>TEXT(Table1[[#This Row],[Date]],"dddd")</f>
        <v>Thursday</v>
      </c>
      <c r="C76" s="20" t="str">
        <f>TEXT(Table1[[#This Row],[Date]],"mmmm")</f>
        <v>October</v>
      </c>
      <c r="D76" s="20" t="str">
        <f>"Q"&amp;ROUNDUP(MONTH(Table1[[#This Row],[Date]])/3,0)</f>
        <v>Q4</v>
      </c>
      <c r="E76" s="20" t="str">
        <f>TEXT(Table1[[#This Row],[Date]],"yyyy")</f>
        <v>2025</v>
      </c>
      <c r="F76" s="6">
        <v>286.5</v>
      </c>
      <c r="G76" s="6">
        <v>289</v>
      </c>
      <c r="H76" s="6">
        <v>286.5</v>
      </c>
      <c r="I76" s="6">
        <v>287.8</v>
      </c>
      <c r="J76" s="6">
        <v>287.8</v>
      </c>
      <c r="K76" s="7">
        <v>4.8999999999999998E-3</v>
      </c>
      <c r="L76" s="8">
        <v>33432</v>
      </c>
      <c r="M76" s="17"/>
      <c r="N76" s="17"/>
      <c r="O76" s="17"/>
    </row>
    <row r="77" spans="1:15" ht="15" thickBot="1" x14ac:dyDescent="0.4">
      <c r="A77" s="9">
        <v>45952</v>
      </c>
      <c r="B77" s="21" t="str">
        <f>TEXT(Table1[[#This Row],[Date]],"dddd")</f>
        <v>Wednesday</v>
      </c>
      <c r="C77" s="21" t="str">
        <f>TEXT(Table1[[#This Row],[Date]],"mmmm")</f>
        <v>October</v>
      </c>
      <c r="D77" s="21" t="str">
        <f>"Q"&amp;ROUNDUP(MONTH(Table1[[#This Row],[Date]])/3,0)</f>
        <v>Q4</v>
      </c>
      <c r="E77" s="21" t="str">
        <f>TEXT(Table1[[#This Row],[Date]],"yyyy")</f>
        <v>2025</v>
      </c>
      <c r="F77" s="10">
        <v>288.89999999999998</v>
      </c>
      <c r="G77" s="10">
        <v>288.89999999999998</v>
      </c>
      <c r="H77" s="10">
        <v>285</v>
      </c>
      <c r="I77" s="10">
        <v>286.39999999999998</v>
      </c>
      <c r="J77" s="10">
        <v>286.39999999999998</v>
      </c>
      <c r="K77" s="11">
        <v>1.6999999999999999E-3</v>
      </c>
      <c r="L77" s="12">
        <v>34241</v>
      </c>
      <c r="M77" s="18"/>
      <c r="N77" s="18"/>
      <c r="O77" s="18"/>
    </row>
    <row r="78" spans="1:15" ht="15" thickBot="1" x14ac:dyDescent="0.4">
      <c r="A78" s="5">
        <v>45951</v>
      </c>
      <c r="B78" s="20" t="str">
        <f>TEXT(Table1[[#This Row],[Date]],"dddd")</f>
        <v>Tuesday</v>
      </c>
      <c r="C78" s="20" t="str">
        <f>TEXT(Table1[[#This Row],[Date]],"mmmm")</f>
        <v>October</v>
      </c>
      <c r="D78" s="20" t="str">
        <f>"Q"&amp;ROUNDUP(MONTH(Table1[[#This Row],[Date]])/3,0)</f>
        <v>Q4</v>
      </c>
      <c r="E78" s="20" t="str">
        <f>TEXT(Table1[[#This Row],[Date]],"yyyy")</f>
        <v>2025</v>
      </c>
      <c r="F78" s="6">
        <v>290</v>
      </c>
      <c r="G78" s="6">
        <v>290.60000000000002</v>
      </c>
      <c r="H78" s="6">
        <v>285</v>
      </c>
      <c r="I78" s="6">
        <v>285.89999999999998</v>
      </c>
      <c r="J78" s="6">
        <v>285.89999999999998</v>
      </c>
      <c r="K78" s="13">
        <v>-4.8999999999999998E-3</v>
      </c>
      <c r="L78" s="8">
        <v>68474</v>
      </c>
      <c r="M78" s="17"/>
      <c r="N78" s="17"/>
      <c r="O78" s="17"/>
    </row>
    <row r="79" spans="1:15" ht="15" thickBot="1" x14ac:dyDescent="0.4">
      <c r="A79" s="9">
        <v>45950</v>
      </c>
      <c r="B79" s="21" t="str">
        <f>TEXT(Table1[[#This Row],[Date]],"dddd")</f>
        <v>Monday</v>
      </c>
      <c r="C79" s="21" t="str">
        <f>TEXT(Table1[[#This Row],[Date]],"mmmm")</f>
        <v>October</v>
      </c>
      <c r="D79" s="21" t="str">
        <f>"Q"&amp;ROUNDUP(MONTH(Table1[[#This Row],[Date]])/3,0)</f>
        <v>Q4</v>
      </c>
      <c r="E79" s="21" t="str">
        <f>TEXT(Table1[[#This Row],[Date]],"yyyy")</f>
        <v>2025</v>
      </c>
      <c r="F79" s="10">
        <v>287.10000000000002</v>
      </c>
      <c r="G79" s="10">
        <v>287.39999999999998</v>
      </c>
      <c r="H79" s="10">
        <v>286</v>
      </c>
      <c r="I79" s="10">
        <v>287.3</v>
      </c>
      <c r="J79" s="10">
        <v>287.3</v>
      </c>
      <c r="K79" s="11">
        <v>6.9999999999999999E-4</v>
      </c>
      <c r="L79" s="12">
        <v>24603</v>
      </c>
      <c r="M79" s="18"/>
      <c r="N79" s="18"/>
      <c r="O79" s="18"/>
    </row>
    <row r="80" spans="1:15" ht="15" thickBot="1" x14ac:dyDescent="0.4">
      <c r="A80" s="5">
        <v>45949</v>
      </c>
      <c r="B80" s="20" t="str">
        <f>TEXT(Table1[[#This Row],[Date]],"dddd")</f>
        <v>Sunday</v>
      </c>
      <c r="C80" s="20" t="str">
        <f>TEXT(Table1[[#This Row],[Date]],"mmmm")</f>
        <v>October</v>
      </c>
      <c r="D80" s="20" t="str">
        <f>"Q"&amp;ROUNDUP(MONTH(Table1[[#This Row],[Date]])/3,0)</f>
        <v>Q4</v>
      </c>
      <c r="E80" s="20" t="str">
        <f>TEXT(Table1[[#This Row],[Date]],"yyyy")</f>
        <v>2025</v>
      </c>
      <c r="F80" s="6">
        <v>290</v>
      </c>
      <c r="G80" s="6">
        <v>290</v>
      </c>
      <c r="H80" s="6">
        <v>285</v>
      </c>
      <c r="I80" s="6">
        <v>287.10000000000002</v>
      </c>
      <c r="J80" s="6">
        <v>287.10000000000002</v>
      </c>
      <c r="K80" s="13">
        <v>-2.8E-3</v>
      </c>
      <c r="L80" s="8">
        <v>26530</v>
      </c>
      <c r="M80" s="17"/>
      <c r="N80" s="17"/>
      <c r="O80" s="17"/>
    </row>
    <row r="81" spans="1:15" ht="15" thickBot="1" x14ac:dyDescent="0.4">
      <c r="A81" s="9">
        <v>45946</v>
      </c>
      <c r="B81" s="21" t="str">
        <f>TEXT(Table1[[#This Row],[Date]],"dddd")</f>
        <v>Thursday</v>
      </c>
      <c r="C81" s="21" t="str">
        <f>TEXT(Table1[[#This Row],[Date]],"mmmm")</f>
        <v>October</v>
      </c>
      <c r="D81" s="21" t="str">
        <f>"Q"&amp;ROUNDUP(MONTH(Table1[[#This Row],[Date]])/3,0)</f>
        <v>Q4</v>
      </c>
      <c r="E81" s="21" t="str">
        <f>TEXT(Table1[[#This Row],[Date]],"yyyy")</f>
        <v>2025</v>
      </c>
      <c r="F81" s="10">
        <v>290</v>
      </c>
      <c r="G81" s="10">
        <v>292</v>
      </c>
      <c r="H81" s="10">
        <v>287.10000000000002</v>
      </c>
      <c r="I81" s="10">
        <v>287.89999999999998</v>
      </c>
      <c r="J81" s="10">
        <v>287.89999999999998</v>
      </c>
      <c r="K81" s="14">
        <v>-0.01</v>
      </c>
      <c r="L81" s="12">
        <v>34455</v>
      </c>
      <c r="M81" s="18"/>
      <c r="N81" s="18"/>
      <c r="O81" s="18"/>
    </row>
    <row r="82" spans="1:15" ht="15" thickBot="1" x14ac:dyDescent="0.4">
      <c r="A82" s="5">
        <v>45945</v>
      </c>
      <c r="B82" s="20" t="str">
        <f>TEXT(Table1[[#This Row],[Date]],"dddd")</f>
        <v>Wednesday</v>
      </c>
      <c r="C82" s="20" t="str">
        <f>TEXT(Table1[[#This Row],[Date]],"mmmm")</f>
        <v>October</v>
      </c>
      <c r="D82" s="20" t="str">
        <f>"Q"&amp;ROUNDUP(MONTH(Table1[[#This Row],[Date]])/3,0)</f>
        <v>Q4</v>
      </c>
      <c r="E82" s="20" t="str">
        <f>TEXT(Table1[[#This Row],[Date]],"yyyy")</f>
        <v>2025</v>
      </c>
      <c r="F82" s="6">
        <v>292.39999999999998</v>
      </c>
      <c r="G82" s="6">
        <v>292.39999999999998</v>
      </c>
      <c r="H82" s="6">
        <v>290</v>
      </c>
      <c r="I82" s="6">
        <v>290.8</v>
      </c>
      <c r="J82" s="6">
        <v>290.8</v>
      </c>
      <c r="K82" s="13">
        <v>-5.4999999999999997E-3</v>
      </c>
      <c r="L82" s="8">
        <v>45076</v>
      </c>
      <c r="M82" s="17"/>
      <c r="N82" s="17"/>
      <c r="O82" s="17"/>
    </row>
    <row r="83" spans="1:15" ht="15" thickBot="1" x14ac:dyDescent="0.4">
      <c r="A83" s="9">
        <v>45944</v>
      </c>
      <c r="B83" s="21" t="str">
        <f>TEXT(Table1[[#This Row],[Date]],"dddd")</f>
        <v>Tuesday</v>
      </c>
      <c r="C83" s="21" t="str">
        <f>TEXT(Table1[[#This Row],[Date]],"mmmm")</f>
        <v>October</v>
      </c>
      <c r="D83" s="21" t="str">
        <f>"Q"&amp;ROUNDUP(MONTH(Table1[[#This Row],[Date]])/3,0)</f>
        <v>Q4</v>
      </c>
      <c r="E83" s="21" t="str">
        <f>TEXT(Table1[[#This Row],[Date]],"yyyy")</f>
        <v>2025</v>
      </c>
      <c r="F83" s="10">
        <v>294.89999999999998</v>
      </c>
      <c r="G83" s="10">
        <v>294.89999999999998</v>
      </c>
      <c r="H83" s="10">
        <v>292</v>
      </c>
      <c r="I83" s="10">
        <v>292.39999999999998</v>
      </c>
      <c r="J83" s="10">
        <v>292.39999999999998</v>
      </c>
      <c r="K83" s="14">
        <v>-5.4000000000000003E-3</v>
      </c>
      <c r="L83" s="12">
        <v>42713</v>
      </c>
      <c r="M83" s="18"/>
      <c r="N83" s="18"/>
      <c r="O83" s="18"/>
    </row>
    <row r="84" spans="1:15" ht="15" thickBot="1" x14ac:dyDescent="0.4">
      <c r="A84" s="5">
        <v>45943</v>
      </c>
      <c r="B84" s="20" t="str">
        <f>TEXT(Table1[[#This Row],[Date]],"dddd")</f>
        <v>Monday</v>
      </c>
      <c r="C84" s="20" t="str">
        <f>TEXT(Table1[[#This Row],[Date]],"mmmm")</f>
        <v>October</v>
      </c>
      <c r="D84" s="20" t="str">
        <f>"Q"&amp;ROUNDUP(MONTH(Table1[[#This Row],[Date]])/3,0)</f>
        <v>Q4</v>
      </c>
      <c r="E84" s="20" t="str">
        <f>TEXT(Table1[[#This Row],[Date]],"yyyy")</f>
        <v>2025</v>
      </c>
      <c r="F84" s="6">
        <v>293.5</v>
      </c>
      <c r="G84" s="6">
        <v>294.8</v>
      </c>
      <c r="H84" s="6">
        <v>292.8</v>
      </c>
      <c r="I84" s="6">
        <v>294</v>
      </c>
      <c r="J84" s="6">
        <v>294</v>
      </c>
      <c r="K84" s="7">
        <v>1.6999999999999999E-3</v>
      </c>
      <c r="L84" s="8">
        <v>33393</v>
      </c>
      <c r="M84" s="17"/>
      <c r="N84" s="17"/>
      <c r="O84" s="17"/>
    </row>
    <row r="85" spans="1:15" ht="15" thickBot="1" x14ac:dyDescent="0.4">
      <c r="A85" s="9">
        <v>45942</v>
      </c>
      <c r="B85" s="21" t="str">
        <f>TEXT(Table1[[#This Row],[Date]],"dddd")</f>
        <v>Sunday</v>
      </c>
      <c r="C85" s="21" t="str">
        <f>TEXT(Table1[[#This Row],[Date]],"mmmm")</f>
        <v>October</v>
      </c>
      <c r="D85" s="21" t="str">
        <f>"Q"&amp;ROUNDUP(MONTH(Table1[[#This Row],[Date]])/3,0)</f>
        <v>Q4</v>
      </c>
      <c r="E85" s="21" t="str">
        <f>TEXT(Table1[[#This Row],[Date]],"yyyy")</f>
        <v>2025</v>
      </c>
      <c r="F85" s="10">
        <v>296.39999999999998</v>
      </c>
      <c r="G85" s="10">
        <v>296.39999999999998</v>
      </c>
      <c r="H85" s="10">
        <v>293.2</v>
      </c>
      <c r="I85" s="10">
        <v>293.5</v>
      </c>
      <c r="J85" s="10">
        <v>293.5</v>
      </c>
      <c r="K85" s="14">
        <v>-2.7000000000000001E-3</v>
      </c>
      <c r="L85" s="12">
        <v>31975</v>
      </c>
      <c r="M85" s="18"/>
      <c r="N85" s="18"/>
      <c r="O85" s="18"/>
    </row>
    <row r="86" spans="1:15" ht="15" thickBot="1" x14ac:dyDescent="0.4">
      <c r="A86" s="5">
        <v>45939</v>
      </c>
      <c r="B86" s="20" t="str">
        <f>TEXT(Table1[[#This Row],[Date]],"dddd")</f>
        <v>Thursday</v>
      </c>
      <c r="C86" s="20" t="str">
        <f>TEXT(Table1[[#This Row],[Date]],"mmmm")</f>
        <v>October</v>
      </c>
      <c r="D86" s="20" t="str">
        <f>"Q"&amp;ROUNDUP(MONTH(Table1[[#This Row],[Date]])/3,0)</f>
        <v>Q4</v>
      </c>
      <c r="E86" s="20" t="str">
        <f>TEXT(Table1[[#This Row],[Date]],"yyyy")</f>
        <v>2025</v>
      </c>
      <c r="F86" s="6">
        <v>294.5</v>
      </c>
      <c r="G86" s="6">
        <v>295.89999999999998</v>
      </c>
      <c r="H86" s="6">
        <v>293</v>
      </c>
      <c r="I86" s="6">
        <v>294.3</v>
      </c>
      <c r="J86" s="6">
        <v>294.3</v>
      </c>
      <c r="K86" s="7">
        <v>2.9999999999999997E-4</v>
      </c>
      <c r="L86" s="8">
        <v>43559</v>
      </c>
      <c r="M86" s="17"/>
      <c r="N86" s="17"/>
      <c r="O86" s="17"/>
    </row>
    <row r="87" spans="1:15" ht="15" thickBot="1" x14ac:dyDescent="0.4">
      <c r="A87" s="9">
        <v>45938</v>
      </c>
      <c r="B87" s="21" t="str">
        <f>TEXT(Table1[[#This Row],[Date]],"dddd")</f>
        <v>Wednesday</v>
      </c>
      <c r="C87" s="21" t="str">
        <f>TEXT(Table1[[#This Row],[Date]],"mmmm")</f>
        <v>October</v>
      </c>
      <c r="D87" s="21" t="str">
        <f>"Q"&amp;ROUNDUP(MONTH(Table1[[#This Row],[Date]])/3,0)</f>
        <v>Q4</v>
      </c>
      <c r="E87" s="21" t="str">
        <f>TEXT(Table1[[#This Row],[Date]],"yyyy")</f>
        <v>2025</v>
      </c>
      <c r="F87" s="10">
        <v>296.39999999999998</v>
      </c>
      <c r="G87" s="10">
        <v>296.39999999999998</v>
      </c>
      <c r="H87" s="10">
        <v>293</v>
      </c>
      <c r="I87" s="10">
        <v>294.2</v>
      </c>
      <c r="J87" s="10">
        <v>294.2</v>
      </c>
      <c r="K87" s="14">
        <v>-1.6999999999999999E-3</v>
      </c>
      <c r="L87" s="12">
        <v>42779</v>
      </c>
      <c r="M87" s="18"/>
      <c r="N87" s="18"/>
      <c r="O87" s="18"/>
    </row>
    <row r="88" spans="1:15" ht="15" thickBot="1" x14ac:dyDescent="0.4">
      <c r="A88" s="5">
        <v>45937</v>
      </c>
      <c r="B88" s="20" t="str">
        <f>TEXT(Table1[[#This Row],[Date]],"dddd")</f>
        <v>Tuesday</v>
      </c>
      <c r="C88" s="20" t="str">
        <f>TEXT(Table1[[#This Row],[Date]],"mmmm")</f>
        <v>October</v>
      </c>
      <c r="D88" s="20" t="str">
        <f>"Q"&amp;ROUNDUP(MONTH(Table1[[#This Row],[Date]])/3,0)</f>
        <v>Q4</v>
      </c>
      <c r="E88" s="20" t="str">
        <f>TEXT(Table1[[#This Row],[Date]],"yyyy")</f>
        <v>2025</v>
      </c>
      <c r="F88" s="6">
        <v>298</v>
      </c>
      <c r="G88" s="6">
        <v>301</v>
      </c>
      <c r="H88" s="6">
        <v>292.3</v>
      </c>
      <c r="I88" s="6">
        <v>294.7</v>
      </c>
      <c r="J88" s="6">
        <v>294.7</v>
      </c>
      <c r="K88" s="13">
        <v>-1.14E-2</v>
      </c>
      <c r="L88" s="8">
        <v>87689</v>
      </c>
      <c r="M88" s="17"/>
      <c r="N88" s="17"/>
      <c r="O88" s="17"/>
    </row>
    <row r="89" spans="1:15" ht="15" thickBot="1" x14ac:dyDescent="0.4">
      <c r="A89" s="9">
        <v>45936</v>
      </c>
      <c r="B89" s="21" t="str">
        <f>TEXT(Table1[[#This Row],[Date]],"dddd")</f>
        <v>Monday</v>
      </c>
      <c r="C89" s="21" t="str">
        <f>TEXT(Table1[[#This Row],[Date]],"mmmm")</f>
        <v>October</v>
      </c>
      <c r="D89" s="21" t="str">
        <f>"Q"&amp;ROUNDUP(MONTH(Table1[[#This Row],[Date]])/3,0)</f>
        <v>Q4</v>
      </c>
      <c r="E89" s="21" t="str">
        <f>TEXT(Table1[[#This Row],[Date]],"yyyy")</f>
        <v>2025</v>
      </c>
      <c r="F89" s="10">
        <v>302</v>
      </c>
      <c r="G89" s="10">
        <v>302</v>
      </c>
      <c r="H89" s="10">
        <v>298</v>
      </c>
      <c r="I89" s="10">
        <v>298.10000000000002</v>
      </c>
      <c r="J89" s="10">
        <v>298.10000000000002</v>
      </c>
      <c r="K89" s="14">
        <v>-2E-3</v>
      </c>
      <c r="L89" s="12">
        <v>70610</v>
      </c>
      <c r="M89" s="18"/>
      <c r="N89" s="18"/>
      <c r="O89" s="18"/>
    </row>
    <row r="90" spans="1:15" ht="15" thickBot="1" x14ac:dyDescent="0.4">
      <c r="A90" s="5">
        <v>45935</v>
      </c>
      <c r="B90" s="20" t="str">
        <f>TEXT(Table1[[#This Row],[Date]],"dddd")</f>
        <v>Sunday</v>
      </c>
      <c r="C90" s="20" t="str">
        <f>TEXT(Table1[[#This Row],[Date]],"mmmm")</f>
        <v>October</v>
      </c>
      <c r="D90" s="20" t="str">
        <f>"Q"&amp;ROUNDUP(MONTH(Table1[[#This Row],[Date]])/3,0)</f>
        <v>Q4</v>
      </c>
      <c r="E90" s="20" t="str">
        <f>TEXT(Table1[[#This Row],[Date]],"yyyy")</f>
        <v>2025</v>
      </c>
      <c r="F90" s="6">
        <v>298.39999999999998</v>
      </c>
      <c r="G90" s="6">
        <v>302.89999999999998</v>
      </c>
      <c r="H90" s="6">
        <v>298.39999999999998</v>
      </c>
      <c r="I90" s="6">
        <v>298.7</v>
      </c>
      <c r="J90" s="6">
        <v>298.7</v>
      </c>
      <c r="K90" s="13">
        <v>-1E-3</v>
      </c>
      <c r="L90" s="8">
        <v>24928</v>
      </c>
      <c r="M90" s="17"/>
      <c r="N90" s="17"/>
      <c r="O90" s="17"/>
    </row>
    <row r="91" spans="1:15" ht="15" thickBot="1" x14ac:dyDescent="0.4">
      <c r="A91" s="9">
        <v>45930</v>
      </c>
      <c r="B91" s="21" t="str">
        <f>TEXT(Table1[[#This Row],[Date]],"dddd")</f>
        <v>Tuesday</v>
      </c>
      <c r="C91" s="21" t="str">
        <f>TEXT(Table1[[#This Row],[Date]],"mmmm")</f>
        <v>September</v>
      </c>
      <c r="D91" s="21" t="str">
        <f>"Q"&amp;ROUNDUP(MONTH(Table1[[#This Row],[Date]])/3,0)</f>
        <v>Q3</v>
      </c>
      <c r="E91" s="21" t="str">
        <f>TEXT(Table1[[#This Row],[Date]],"yyyy")</f>
        <v>2025</v>
      </c>
      <c r="F91" s="10">
        <v>297.5</v>
      </c>
      <c r="G91" s="10">
        <v>303.89999999999998</v>
      </c>
      <c r="H91" s="10">
        <v>297.5</v>
      </c>
      <c r="I91" s="10">
        <v>299</v>
      </c>
      <c r="J91" s="10">
        <v>299</v>
      </c>
      <c r="K91" s="11">
        <v>3.3999999999999998E-3</v>
      </c>
      <c r="L91" s="12">
        <v>47264</v>
      </c>
      <c r="M91" s="18"/>
      <c r="N91" s="18"/>
      <c r="O91" s="18"/>
    </row>
    <row r="92" spans="1:15" ht="15" thickBot="1" x14ac:dyDescent="0.4">
      <c r="A92" s="5">
        <v>45929</v>
      </c>
      <c r="B92" s="20" t="str">
        <f>TEXT(Table1[[#This Row],[Date]],"dddd")</f>
        <v>Monday</v>
      </c>
      <c r="C92" s="20" t="str">
        <f>TEXT(Table1[[#This Row],[Date]],"mmmm")</f>
        <v>September</v>
      </c>
      <c r="D92" s="20" t="str">
        <f>"Q"&amp;ROUNDUP(MONTH(Table1[[#This Row],[Date]])/3,0)</f>
        <v>Q3</v>
      </c>
      <c r="E92" s="20" t="str">
        <f>TEXT(Table1[[#This Row],[Date]],"yyyy")</f>
        <v>2025</v>
      </c>
      <c r="F92" s="6">
        <v>299.2</v>
      </c>
      <c r="G92" s="6">
        <v>299.89999999999998</v>
      </c>
      <c r="H92" s="6">
        <v>297.8</v>
      </c>
      <c r="I92" s="6">
        <v>298</v>
      </c>
      <c r="J92" s="6">
        <v>298</v>
      </c>
      <c r="K92" s="13">
        <v>-3.7000000000000002E-3</v>
      </c>
      <c r="L92" s="8">
        <v>162289</v>
      </c>
      <c r="M92" s="17"/>
      <c r="N92" s="17"/>
      <c r="O92" s="17"/>
    </row>
    <row r="93" spans="1:15" ht="15" thickBot="1" x14ac:dyDescent="0.4">
      <c r="A93" s="9">
        <v>45928</v>
      </c>
      <c r="B93" s="21" t="str">
        <f>TEXT(Table1[[#This Row],[Date]],"dddd")</f>
        <v>Sunday</v>
      </c>
      <c r="C93" s="21" t="str">
        <f>TEXT(Table1[[#This Row],[Date]],"mmmm")</f>
        <v>September</v>
      </c>
      <c r="D93" s="21" t="str">
        <f>"Q"&amp;ROUNDUP(MONTH(Table1[[#This Row],[Date]])/3,0)</f>
        <v>Q3</v>
      </c>
      <c r="E93" s="21" t="str">
        <f>TEXT(Table1[[#This Row],[Date]],"yyyy")</f>
        <v>2025</v>
      </c>
      <c r="F93" s="10">
        <v>300</v>
      </c>
      <c r="G93" s="10">
        <v>300</v>
      </c>
      <c r="H93" s="10">
        <v>298</v>
      </c>
      <c r="I93" s="10">
        <v>299.10000000000002</v>
      </c>
      <c r="J93" s="10">
        <v>299.10000000000002</v>
      </c>
      <c r="K93" s="11">
        <v>2.3E-3</v>
      </c>
      <c r="L93" s="12">
        <v>30497</v>
      </c>
      <c r="M93" s="18"/>
      <c r="N93" s="18"/>
      <c r="O93" s="18"/>
    </row>
    <row r="94" spans="1:15" ht="15" thickBot="1" x14ac:dyDescent="0.4">
      <c r="A94" s="5">
        <v>45925</v>
      </c>
      <c r="B94" s="20" t="str">
        <f>TEXT(Table1[[#This Row],[Date]],"dddd")</f>
        <v>Thursday</v>
      </c>
      <c r="C94" s="20" t="str">
        <f>TEXT(Table1[[#This Row],[Date]],"mmmm")</f>
        <v>September</v>
      </c>
      <c r="D94" s="20" t="str">
        <f>"Q"&amp;ROUNDUP(MONTH(Table1[[#This Row],[Date]])/3,0)</f>
        <v>Q3</v>
      </c>
      <c r="E94" s="20" t="str">
        <f>TEXT(Table1[[#This Row],[Date]],"yyyy")</f>
        <v>2025</v>
      </c>
      <c r="F94" s="6">
        <v>298.5</v>
      </c>
      <c r="G94" s="6">
        <v>301.5</v>
      </c>
      <c r="H94" s="6">
        <v>297.89999999999998</v>
      </c>
      <c r="I94" s="6">
        <v>298.39999999999998</v>
      </c>
      <c r="J94" s="6">
        <v>298.39999999999998</v>
      </c>
      <c r="K94" s="13">
        <v>-2E-3</v>
      </c>
      <c r="L94" s="8">
        <v>36743</v>
      </c>
      <c r="M94" s="17"/>
      <c r="N94" s="17"/>
      <c r="O94" s="17"/>
    </row>
    <row r="95" spans="1:15" ht="15" thickBot="1" x14ac:dyDescent="0.4">
      <c r="A95" s="9">
        <v>45924</v>
      </c>
      <c r="B95" s="21" t="str">
        <f>TEXT(Table1[[#This Row],[Date]],"dddd")</f>
        <v>Wednesday</v>
      </c>
      <c r="C95" s="21" t="str">
        <f>TEXT(Table1[[#This Row],[Date]],"mmmm")</f>
        <v>September</v>
      </c>
      <c r="D95" s="21" t="str">
        <f>"Q"&amp;ROUNDUP(MONTH(Table1[[#This Row],[Date]])/3,0)</f>
        <v>Q3</v>
      </c>
      <c r="E95" s="21" t="str">
        <f>TEXT(Table1[[#This Row],[Date]],"yyyy")</f>
        <v>2025</v>
      </c>
      <c r="F95" s="10">
        <v>298.8</v>
      </c>
      <c r="G95" s="10">
        <v>300.8</v>
      </c>
      <c r="H95" s="10">
        <v>298.10000000000002</v>
      </c>
      <c r="I95" s="10">
        <v>299</v>
      </c>
      <c r="J95" s="10">
        <v>299</v>
      </c>
      <c r="K95" s="11">
        <v>1.6999999999999999E-3</v>
      </c>
      <c r="L95" s="12">
        <v>33360</v>
      </c>
      <c r="M95" s="18"/>
      <c r="N95" s="18"/>
      <c r="O95" s="18"/>
    </row>
    <row r="96" spans="1:15" ht="15" thickBot="1" x14ac:dyDescent="0.4">
      <c r="A96" s="5">
        <v>45923</v>
      </c>
      <c r="B96" s="20" t="str">
        <f>TEXT(Table1[[#This Row],[Date]],"dddd")</f>
        <v>Tuesday</v>
      </c>
      <c r="C96" s="20" t="str">
        <f>TEXT(Table1[[#This Row],[Date]],"mmmm")</f>
        <v>September</v>
      </c>
      <c r="D96" s="20" t="str">
        <f>"Q"&amp;ROUNDUP(MONTH(Table1[[#This Row],[Date]])/3,0)</f>
        <v>Q3</v>
      </c>
      <c r="E96" s="20" t="str">
        <f>TEXT(Table1[[#This Row],[Date]],"yyyy")</f>
        <v>2025</v>
      </c>
      <c r="F96" s="6">
        <v>300</v>
      </c>
      <c r="G96" s="6">
        <v>301</v>
      </c>
      <c r="H96" s="6">
        <v>298</v>
      </c>
      <c r="I96" s="6">
        <v>298.5</v>
      </c>
      <c r="J96" s="6">
        <v>298.5</v>
      </c>
      <c r="K96" s="13">
        <v>-5.3E-3</v>
      </c>
      <c r="L96" s="8">
        <v>84936</v>
      </c>
      <c r="M96" s="17"/>
      <c r="N96" s="17"/>
      <c r="O96" s="17"/>
    </row>
    <row r="97" spans="1:15" ht="15" thickBot="1" x14ac:dyDescent="0.4">
      <c r="A97" s="9">
        <v>45922</v>
      </c>
      <c r="B97" s="21" t="str">
        <f>TEXT(Table1[[#This Row],[Date]],"dddd")</f>
        <v>Monday</v>
      </c>
      <c r="C97" s="21" t="str">
        <f>TEXT(Table1[[#This Row],[Date]],"mmmm")</f>
        <v>September</v>
      </c>
      <c r="D97" s="21" t="str">
        <f>"Q"&amp;ROUNDUP(MONTH(Table1[[#This Row],[Date]])/3,0)</f>
        <v>Q3</v>
      </c>
      <c r="E97" s="21" t="str">
        <f>TEXT(Table1[[#This Row],[Date]],"yyyy")</f>
        <v>2025</v>
      </c>
      <c r="F97" s="10">
        <v>300.3</v>
      </c>
      <c r="G97" s="10">
        <v>301.10000000000002</v>
      </c>
      <c r="H97" s="10">
        <v>299.60000000000002</v>
      </c>
      <c r="I97" s="10">
        <v>300.10000000000002</v>
      </c>
      <c r="J97" s="10">
        <v>300.10000000000002</v>
      </c>
      <c r="K97" s="14">
        <v>-6.9999999999999999E-4</v>
      </c>
      <c r="L97" s="12">
        <v>30681</v>
      </c>
      <c r="M97" s="18"/>
      <c r="N97" s="18"/>
      <c r="O97" s="18"/>
    </row>
    <row r="98" spans="1:15" ht="15" thickBot="1" x14ac:dyDescent="0.4">
      <c r="A98" s="5">
        <v>45921</v>
      </c>
      <c r="B98" s="20" t="str">
        <f>TEXT(Table1[[#This Row],[Date]],"dddd")</f>
        <v>Sunday</v>
      </c>
      <c r="C98" s="20" t="str">
        <f>TEXT(Table1[[#This Row],[Date]],"mmmm")</f>
        <v>September</v>
      </c>
      <c r="D98" s="20" t="str">
        <f>"Q"&amp;ROUNDUP(MONTH(Table1[[#This Row],[Date]])/3,0)</f>
        <v>Q3</v>
      </c>
      <c r="E98" s="20" t="str">
        <f>TEXT(Table1[[#This Row],[Date]],"yyyy")</f>
        <v>2025</v>
      </c>
      <c r="F98" s="6">
        <v>301.10000000000002</v>
      </c>
      <c r="G98" s="6">
        <v>302</v>
      </c>
      <c r="H98" s="6">
        <v>300</v>
      </c>
      <c r="I98" s="6">
        <v>300.3</v>
      </c>
      <c r="J98" s="6">
        <v>300.3</v>
      </c>
      <c r="K98" s="13">
        <v>-2.7000000000000001E-3</v>
      </c>
      <c r="L98" s="8">
        <v>39149</v>
      </c>
      <c r="M98" s="17"/>
      <c r="N98" s="17"/>
      <c r="O98" s="17"/>
    </row>
    <row r="99" spans="1:15" ht="15" thickBot="1" x14ac:dyDescent="0.4">
      <c r="A99" s="9">
        <v>45918</v>
      </c>
      <c r="B99" s="21" t="str">
        <f>TEXT(Table1[[#This Row],[Date]],"dddd")</f>
        <v>Thursday</v>
      </c>
      <c r="C99" s="21" t="str">
        <f>TEXT(Table1[[#This Row],[Date]],"mmmm")</f>
        <v>September</v>
      </c>
      <c r="D99" s="21" t="str">
        <f>"Q"&amp;ROUNDUP(MONTH(Table1[[#This Row],[Date]])/3,0)</f>
        <v>Q3</v>
      </c>
      <c r="E99" s="21" t="str">
        <f>TEXT(Table1[[#This Row],[Date]],"yyyy")</f>
        <v>2025</v>
      </c>
      <c r="F99" s="10">
        <v>302.7</v>
      </c>
      <c r="G99" s="10">
        <v>302.7</v>
      </c>
      <c r="H99" s="10">
        <v>301</v>
      </c>
      <c r="I99" s="10">
        <v>301.10000000000002</v>
      </c>
      <c r="J99" s="10">
        <v>301.10000000000002</v>
      </c>
      <c r="K99" s="14">
        <v>-2.3E-3</v>
      </c>
      <c r="L99" s="12">
        <v>36142</v>
      </c>
      <c r="M99" s="18"/>
      <c r="N99" s="18"/>
      <c r="O99" s="18"/>
    </row>
    <row r="100" spans="1:15" ht="15" thickBot="1" x14ac:dyDescent="0.4">
      <c r="A100" s="5">
        <v>45917</v>
      </c>
      <c r="B100" s="20" t="str">
        <f>TEXT(Table1[[#This Row],[Date]],"dddd")</f>
        <v>Wednesday</v>
      </c>
      <c r="C100" s="20" t="str">
        <f>TEXT(Table1[[#This Row],[Date]],"mmmm")</f>
        <v>September</v>
      </c>
      <c r="D100" s="20" t="str">
        <f>"Q"&amp;ROUNDUP(MONTH(Table1[[#This Row],[Date]])/3,0)</f>
        <v>Q3</v>
      </c>
      <c r="E100" s="20" t="str">
        <f>TEXT(Table1[[#This Row],[Date]],"yyyy")</f>
        <v>2025</v>
      </c>
      <c r="F100" s="6">
        <v>301.10000000000002</v>
      </c>
      <c r="G100" s="6">
        <v>302.8</v>
      </c>
      <c r="H100" s="6">
        <v>300.60000000000002</v>
      </c>
      <c r="I100" s="6">
        <v>301.8</v>
      </c>
      <c r="J100" s="6">
        <v>301.8</v>
      </c>
      <c r="K100" s="6" t="s">
        <v>8</v>
      </c>
      <c r="L100" s="8">
        <v>24859</v>
      </c>
      <c r="M100" s="17"/>
      <c r="N100" s="17"/>
      <c r="O100" s="17"/>
    </row>
    <row r="101" spans="1:15" ht="15" thickBot="1" x14ac:dyDescent="0.4">
      <c r="A101" s="9">
        <v>45916</v>
      </c>
      <c r="B101" s="21" t="str">
        <f>TEXT(Table1[[#This Row],[Date]],"dddd")</f>
        <v>Tuesday</v>
      </c>
      <c r="C101" s="21" t="str">
        <f>TEXT(Table1[[#This Row],[Date]],"mmmm")</f>
        <v>September</v>
      </c>
      <c r="D101" s="21" t="str">
        <f>"Q"&amp;ROUNDUP(MONTH(Table1[[#This Row],[Date]])/3,0)</f>
        <v>Q3</v>
      </c>
      <c r="E101" s="21" t="str">
        <f>TEXT(Table1[[#This Row],[Date]],"yyyy")</f>
        <v>2025</v>
      </c>
      <c r="F101" s="10">
        <v>301</v>
      </c>
      <c r="G101" s="10">
        <v>303</v>
      </c>
      <c r="H101" s="10">
        <v>300.39999999999998</v>
      </c>
      <c r="I101" s="10">
        <v>301.8</v>
      </c>
      <c r="J101" s="10">
        <v>301.8</v>
      </c>
      <c r="K101" s="11">
        <v>2.7000000000000001E-3</v>
      </c>
      <c r="L101" s="12">
        <v>23126</v>
      </c>
      <c r="M101" s="18"/>
      <c r="N101" s="18"/>
      <c r="O101" s="18"/>
    </row>
    <row r="102" spans="1:15" ht="15" thickBot="1" x14ac:dyDescent="0.4">
      <c r="A102" s="5">
        <v>45915</v>
      </c>
      <c r="B102" s="20" t="str">
        <f>TEXT(Table1[[#This Row],[Date]],"dddd")</f>
        <v>Monday</v>
      </c>
      <c r="C102" s="20" t="str">
        <f>TEXT(Table1[[#This Row],[Date]],"mmmm")</f>
        <v>September</v>
      </c>
      <c r="D102" s="20" t="str">
        <f>"Q"&amp;ROUNDUP(MONTH(Table1[[#This Row],[Date]])/3,0)</f>
        <v>Q3</v>
      </c>
      <c r="E102" s="20" t="str">
        <f>TEXT(Table1[[#This Row],[Date]],"yyyy")</f>
        <v>2025</v>
      </c>
      <c r="F102" s="6">
        <v>299.89999999999998</v>
      </c>
      <c r="G102" s="6">
        <v>303</v>
      </c>
      <c r="H102" s="6">
        <v>299.89999999999998</v>
      </c>
      <c r="I102" s="6">
        <v>301</v>
      </c>
      <c r="J102" s="6">
        <v>301</v>
      </c>
      <c r="K102" s="7">
        <v>3.7000000000000002E-3</v>
      </c>
      <c r="L102" s="8">
        <v>51445</v>
      </c>
      <c r="M102" s="17"/>
      <c r="N102" s="17"/>
      <c r="O102" s="17"/>
    </row>
    <row r="103" spans="1:15" ht="15" thickBot="1" x14ac:dyDescent="0.4">
      <c r="A103" s="9">
        <v>45914</v>
      </c>
      <c r="B103" s="21" t="str">
        <f>TEXT(Table1[[#This Row],[Date]],"dddd")</f>
        <v>Sunday</v>
      </c>
      <c r="C103" s="21" t="str">
        <f>TEXT(Table1[[#This Row],[Date]],"mmmm")</f>
        <v>September</v>
      </c>
      <c r="D103" s="21" t="str">
        <f>"Q"&amp;ROUNDUP(MONTH(Table1[[#This Row],[Date]])/3,0)</f>
        <v>Q3</v>
      </c>
      <c r="E103" s="21" t="str">
        <f>TEXT(Table1[[#This Row],[Date]],"yyyy")</f>
        <v>2025</v>
      </c>
      <c r="F103" s="10">
        <v>301</v>
      </c>
      <c r="G103" s="10">
        <v>302.8</v>
      </c>
      <c r="H103" s="10">
        <v>299.39999999999998</v>
      </c>
      <c r="I103" s="10">
        <v>299.89999999999998</v>
      </c>
      <c r="J103" s="10">
        <v>299.89999999999998</v>
      </c>
      <c r="K103" s="14">
        <v>-6.3E-3</v>
      </c>
      <c r="L103" s="12">
        <v>38950</v>
      </c>
      <c r="M103" s="18"/>
      <c r="N103" s="18"/>
      <c r="O103" s="18"/>
    </row>
    <row r="104" spans="1:15" ht="15" thickBot="1" x14ac:dyDescent="0.4">
      <c r="A104" s="5">
        <v>45911</v>
      </c>
      <c r="B104" s="20" t="str">
        <f>TEXT(Table1[[#This Row],[Date]],"dddd")</f>
        <v>Thursday</v>
      </c>
      <c r="C104" s="20" t="str">
        <f>TEXT(Table1[[#This Row],[Date]],"mmmm")</f>
        <v>September</v>
      </c>
      <c r="D104" s="20" t="str">
        <f>"Q"&amp;ROUNDUP(MONTH(Table1[[#This Row],[Date]])/3,0)</f>
        <v>Q3</v>
      </c>
      <c r="E104" s="20" t="str">
        <f>TEXT(Table1[[#This Row],[Date]],"yyyy")</f>
        <v>2025</v>
      </c>
      <c r="F104" s="6">
        <v>303</v>
      </c>
      <c r="G104" s="6">
        <v>303</v>
      </c>
      <c r="H104" s="6">
        <v>300.3</v>
      </c>
      <c r="I104" s="6">
        <v>301.8</v>
      </c>
      <c r="J104" s="6">
        <v>301.8</v>
      </c>
      <c r="K104" s="7">
        <v>5.0000000000000001E-3</v>
      </c>
      <c r="L104" s="8">
        <v>27195</v>
      </c>
      <c r="M104" s="17"/>
      <c r="N104" s="17"/>
      <c r="O104" s="17"/>
    </row>
    <row r="105" spans="1:15" ht="15" thickBot="1" x14ac:dyDescent="0.4">
      <c r="A105" s="9">
        <v>45910</v>
      </c>
      <c r="B105" s="21" t="str">
        <f>TEXT(Table1[[#This Row],[Date]],"dddd")</f>
        <v>Wednesday</v>
      </c>
      <c r="C105" s="21" t="str">
        <f>TEXT(Table1[[#This Row],[Date]],"mmmm")</f>
        <v>September</v>
      </c>
      <c r="D105" s="21" t="str">
        <f>"Q"&amp;ROUNDUP(MONTH(Table1[[#This Row],[Date]])/3,0)</f>
        <v>Q3</v>
      </c>
      <c r="E105" s="21" t="str">
        <f>TEXT(Table1[[#This Row],[Date]],"yyyy")</f>
        <v>2025</v>
      </c>
      <c r="F105" s="10">
        <v>301</v>
      </c>
      <c r="G105" s="10">
        <v>304.60000000000002</v>
      </c>
      <c r="H105" s="10">
        <v>300</v>
      </c>
      <c r="I105" s="10">
        <v>300.3</v>
      </c>
      <c r="J105" s="10">
        <v>300.3</v>
      </c>
      <c r="K105" s="14">
        <v>-1.6999999999999999E-3</v>
      </c>
      <c r="L105" s="12">
        <v>37846</v>
      </c>
      <c r="M105" s="18"/>
      <c r="N105" s="18"/>
      <c r="O105" s="18"/>
    </row>
    <row r="106" spans="1:15" ht="15" thickBot="1" x14ac:dyDescent="0.4">
      <c r="A106" s="5">
        <v>45909</v>
      </c>
      <c r="B106" s="20" t="str">
        <f>TEXT(Table1[[#This Row],[Date]],"dddd")</f>
        <v>Tuesday</v>
      </c>
      <c r="C106" s="20" t="str">
        <f>TEXT(Table1[[#This Row],[Date]],"mmmm")</f>
        <v>September</v>
      </c>
      <c r="D106" s="20" t="str">
        <f>"Q"&amp;ROUNDUP(MONTH(Table1[[#This Row],[Date]])/3,0)</f>
        <v>Q3</v>
      </c>
      <c r="E106" s="20" t="str">
        <f>TEXT(Table1[[#This Row],[Date]],"yyyy")</f>
        <v>2025</v>
      </c>
      <c r="F106" s="6">
        <v>305.10000000000002</v>
      </c>
      <c r="G106" s="6">
        <v>307.8</v>
      </c>
      <c r="H106" s="6">
        <v>299.89999999999998</v>
      </c>
      <c r="I106" s="6">
        <v>300.8</v>
      </c>
      <c r="J106" s="6">
        <v>300.8</v>
      </c>
      <c r="K106" s="13">
        <v>-1.5100000000000001E-2</v>
      </c>
      <c r="L106" s="8">
        <v>145978</v>
      </c>
      <c r="M106" s="17"/>
      <c r="N106" s="17"/>
      <c r="O106" s="17"/>
    </row>
    <row r="107" spans="1:15" ht="15" thickBot="1" x14ac:dyDescent="0.4">
      <c r="A107" s="9">
        <v>45908</v>
      </c>
      <c r="B107" s="21" t="str">
        <f>TEXT(Table1[[#This Row],[Date]],"dddd")</f>
        <v>Monday</v>
      </c>
      <c r="C107" s="21" t="str">
        <f>TEXT(Table1[[#This Row],[Date]],"mmmm")</f>
        <v>September</v>
      </c>
      <c r="D107" s="21" t="str">
        <f>"Q"&amp;ROUNDUP(MONTH(Table1[[#This Row],[Date]])/3,0)</f>
        <v>Q3</v>
      </c>
      <c r="E107" s="21" t="str">
        <f>TEXT(Table1[[#This Row],[Date]],"yyyy")</f>
        <v>2025</v>
      </c>
      <c r="F107" s="10">
        <v>308.5</v>
      </c>
      <c r="G107" s="10">
        <v>308.5</v>
      </c>
      <c r="H107" s="10">
        <v>304.7</v>
      </c>
      <c r="I107" s="10">
        <v>305.39999999999998</v>
      </c>
      <c r="J107" s="10">
        <v>305.39999999999998</v>
      </c>
      <c r="K107" s="14">
        <v>-2.8999999999999998E-3</v>
      </c>
      <c r="L107" s="12">
        <v>86096</v>
      </c>
      <c r="M107" s="18"/>
      <c r="N107" s="18"/>
      <c r="O107" s="18"/>
    </row>
    <row r="108" spans="1:15" ht="15" thickBot="1" x14ac:dyDescent="0.4">
      <c r="A108" s="5">
        <v>45907</v>
      </c>
      <c r="B108" s="20" t="str">
        <f>TEXT(Table1[[#This Row],[Date]],"dddd")</f>
        <v>Sunday</v>
      </c>
      <c r="C108" s="20" t="str">
        <f>TEXT(Table1[[#This Row],[Date]],"mmmm")</f>
        <v>September</v>
      </c>
      <c r="D108" s="20" t="str">
        <f>"Q"&amp;ROUNDUP(MONTH(Table1[[#This Row],[Date]])/3,0)</f>
        <v>Q3</v>
      </c>
      <c r="E108" s="20" t="str">
        <f>TEXT(Table1[[#This Row],[Date]],"yyyy")</f>
        <v>2025</v>
      </c>
      <c r="F108" s="6">
        <v>304.5</v>
      </c>
      <c r="G108" s="6">
        <v>308.5</v>
      </c>
      <c r="H108" s="6">
        <v>304.10000000000002</v>
      </c>
      <c r="I108" s="6">
        <v>306.3</v>
      </c>
      <c r="J108" s="6">
        <v>306.3</v>
      </c>
      <c r="K108" s="7">
        <v>6.1999999999999998E-3</v>
      </c>
      <c r="L108" s="8">
        <v>56577</v>
      </c>
      <c r="M108" s="17"/>
      <c r="N108" s="17"/>
      <c r="O108" s="17"/>
    </row>
    <row r="109" spans="1:15" ht="15" thickBot="1" x14ac:dyDescent="0.4">
      <c r="A109" s="9">
        <v>45904</v>
      </c>
      <c r="B109" s="21" t="str">
        <f>TEXT(Table1[[#This Row],[Date]],"dddd")</f>
        <v>Thursday</v>
      </c>
      <c r="C109" s="21" t="str">
        <f>TEXT(Table1[[#This Row],[Date]],"mmmm")</f>
        <v>September</v>
      </c>
      <c r="D109" s="21" t="str">
        <f>"Q"&amp;ROUNDUP(MONTH(Table1[[#This Row],[Date]])/3,0)</f>
        <v>Q3</v>
      </c>
      <c r="E109" s="21" t="str">
        <f>TEXT(Table1[[#This Row],[Date]],"yyyy")</f>
        <v>2025</v>
      </c>
      <c r="F109" s="10">
        <v>309</v>
      </c>
      <c r="G109" s="10">
        <v>309</v>
      </c>
      <c r="H109" s="10">
        <v>304</v>
      </c>
      <c r="I109" s="10">
        <v>304.39999999999998</v>
      </c>
      <c r="J109" s="10">
        <v>304.39999999999998</v>
      </c>
      <c r="K109" s="14">
        <v>-1.7100000000000001E-2</v>
      </c>
      <c r="L109" s="12">
        <v>167101</v>
      </c>
      <c r="M109" s="18"/>
      <c r="N109" s="18"/>
      <c r="O109" s="18"/>
    </row>
    <row r="110" spans="1:15" ht="15" thickBot="1" x14ac:dyDescent="0.4">
      <c r="A110" s="5">
        <v>45903</v>
      </c>
      <c r="B110" s="20" t="str">
        <f>TEXT(Table1[[#This Row],[Date]],"dddd")</f>
        <v>Wednesday</v>
      </c>
      <c r="C110" s="20" t="str">
        <f>TEXT(Table1[[#This Row],[Date]],"mmmm")</f>
        <v>September</v>
      </c>
      <c r="D110" s="20" t="str">
        <f>"Q"&amp;ROUNDUP(MONTH(Table1[[#This Row],[Date]])/3,0)</f>
        <v>Q3</v>
      </c>
      <c r="E110" s="20" t="str">
        <f>TEXT(Table1[[#This Row],[Date]],"yyyy")</f>
        <v>2025</v>
      </c>
      <c r="F110" s="6">
        <v>311.5</v>
      </c>
      <c r="G110" s="6">
        <v>311.5</v>
      </c>
      <c r="H110" s="6">
        <v>309</v>
      </c>
      <c r="I110" s="6">
        <v>309.7</v>
      </c>
      <c r="J110" s="6">
        <v>309.7</v>
      </c>
      <c r="K110" s="13">
        <v>-1.9E-3</v>
      </c>
      <c r="L110" s="8">
        <v>86896</v>
      </c>
      <c r="M110" s="17"/>
      <c r="N110" s="17"/>
      <c r="O110" s="17"/>
    </row>
    <row r="111" spans="1:15" ht="15" thickBot="1" x14ac:dyDescent="0.4">
      <c r="A111" s="9">
        <v>45902</v>
      </c>
      <c r="B111" s="21" t="str">
        <f>TEXT(Table1[[#This Row],[Date]],"dddd")</f>
        <v>Tuesday</v>
      </c>
      <c r="C111" s="21" t="str">
        <f>TEXT(Table1[[#This Row],[Date]],"mmmm")</f>
        <v>September</v>
      </c>
      <c r="D111" s="21" t="str">
        <f>"Q"&amp;ROUNDUP(MONTH(Table1[[#This Row],[Date]])/3,0)</f>
        <v>Q3</v>
      </c>
      <c r="E111" s="21" t="str">
        <f>TEXT(Table1[[#This Row],[Date]],"yyyy")</f>
        <v>2025</v>
      </c>
      <c r="F111" s="10">
        <v>309</v>
      </c>
      <c r="G111" s="10">
        <v>311.7</v>
      </c>
      <c r="H111" s="10">
        <v>304</v>
      </c>
      <c r="I111" s="10">
        <v>310.3</v>
      </c>
      <c r="J111" s="10">
        <v>310.3</v>
      </c>
      <c r="K111" s="11">
        <v>1.0699999999999999E-2</v>
      </c>
      <c r="L111" s="12">
        <v>209199</v>
      </c>
      <c r="M111" s="18"/>
      <c r="N111" s="18"/>
      <c r="O111" s="18"/>
    </row>
    <row r="112" spans="1:15" ht="15" thickBot="1" x14ac:dyDescent="0.4">
      <c r="A112" s="5">
        <v>45901</v>
      </c>
      <c r="B112" s="20" t="str">
        <f>TEXT(Table1[[#This Row],[Date]],"dddd")</f>
        <v>Monday</v>
      </c>
      <c r="C112" s="20" t="str">
        <f>TEXT(Table1[[#This Row],[Date]],"mmmm")</f>
        <v>September</v>
      </c>
      <c r="D112" s="20" t="str">
        <f>"Q"&amp;ROUNDUP(MONTH(Table1[[#This Row],[Date]])/3,0)</f>
        <v>Q3</v>
      </c>
      <c r="E112" s="20" t="str">
        <f>TEXT(Table1[[#This Row],[Date]],"yyyy")</f>
        <v>2025</v>
      </c>
      <c r="F112" s="6">
        <v>311</v>
      </c>
      <c r="G112" s="6">
        <v>311</v>
      </c>
      <c r="H112" s="6">
        <v>306.5</v>
      </c>
      <c r="I112" s="6">
        <v>307</v>
      </c>
      <c r="J112" s="6">
        <v>307</v>
      </c>
      <c r="K112" s="13">
        <v>-1.0999999999999999E-2</v>
      </c>
      <c r="L112" s="8">
        <v>257183</v>
      </c>
      <c r="M112" s="17"/>
      <c r="N112" s="17"/>
      <c r="O112" s="17"/>
    </row>
    <row r="113" spans="1:15" ht="15" thickBot="1" x14ac:dyDescent="0.4">
      <c r="A113" s="9">
        <v>45900</v>
      </c>
      <c r="B113" s="21" t="str">
        <f>TEXT(Table1[[#This Row],[Date]],"dddd")</f>
        <v>Sunday</v>
      </c>
      <c r="C113" s="21" t="str">
        <f>TEXT(Table1[[#This Row],[Date]],"mmmm")</f>
        <v>August</v>
      </c>
      <c r="D113" s="21" t="str">
        <f>"Q"&amp;ROUNDUP(MONTH(Table1[[#This Row],[Date]])/3,0)</f>
        <v>Q3</v>
      </c>
      <c r="E113" s="21" t="str">
        <f>TEXT(Table1[[#This Row],[Date]],"yyyy")</f>
        <v>2025</v>
      </c>
      <c r="F113" s="10">
        <v>307</v>
      </c>
      <c r="G113" s="10">
        <v>311.89999999999998</v>
      </c>
      <c r="H113" s="10">
        <v>306</v>
      </c>
      <c r="I113" s="10">
        <v>310.39999999999998</v>
      </c>
      <c r="J113" s="10">
        <v>310.39999999999998</v>
      </c>
      <c r="K113" s="11">
        <v>1.6400000000000001E-2</v>
      </c>
      <c r="L113" s="12">
        <v>160761</v>
      </c>
      <c r="M113" s="18"/>
      <c r="N113" s="18"/>
      <c r="O113" s="18"/>
    </row>
    <row r="114" spans="1:15" ht="15" thickBot="1" x14ac:dyDescent="0.4">
      <c r="A114" s="5">
        <v>45897</v>
      </c>
      <c r="B114" s="20" t="str">
        <f>TEXT(Table1[[#This Row],[Date]],"dddd")</f>
        <v>Thursday</v>
      </c>
      <c r="C114" s="20" t="str">
        <f>TEXT(Table1[[#This Row],[Date]],"mmmm")</f>
        <v>August</v>
      </c>
      <c r="D114" s="20" t="str">
        <f>"Q"&amp;ROUNDUP(MONTH(Table1[[#This Row],[Date]])/3,0)</f>
        <v>Q3</v>
      </c>
      <c r="E114" s="20" t="str">
        <f>TEXT(Table1[[#This Row],[Date]],"yyyy")</f>
        <v>2025</v>
      </c>
      <c r="F114" s="6">
        <v>299.60000000000002</v>
      </c>
      <c r="G114" s="6">
        <v>305.89999999999998</v>
      </c>
      <c r="H114" s="6">
        <v>299</v>
      </c>
      <c r="I114" s="6">
        <v>305.39999999999998</v>
      </c>
      <c r="J114" s="6">
        <v>305.39999999999998</v>
      </c>
      <c r="K114" s="7">
        <v>1.9400000000000001E-2</v>
      </c>
      <c r="L114" s="8">
        <v>107251</v>
      </c>
      <c r="M114" s="17"/>
      <c r="N114" s="17"/>
      <c r="O114" s="17"/>
    </row>
    <row r="115" spans="1:15" ht="15" thickBot="1" x14ac:dyDescent="0.4">
      <c r="A115" s="9">
        <v>45896</v>
      </c>
      <c r="B115" s="21" t="str">
        <f>TEXT(Table1[[#This Row],[Date]],"dddd")</f>
        <v>Wednesday</v>
      </c>
      <c r="C115" s="21" t="str">
        <f>TEXT(Table1[[#This Row],[Date]],"mmmm")</f>
        <v>August</v>
      </c>
      <c r="D115" s="21" t="str">
        <f>"Q"&amp;ROUNDUP(MONTH(Table1[[#This Row],[Date]])/3,0)</f>
        <v>Q3</v>
      </c>
      <c r="E115" s="21" t="str">
        <f>TEXT(Table1[[#This Row],[Date]],"yyyy")</f>
        <v>2025</v>
      </c>
      <c r="F115" s="10">
        <v>298.8</v>
      </c>
      <c r="G115" s="10">
        <v>300</v>
      </c>
      <c r="H115" s="10">
        <v>298.5</v>
      </c>
      <c r="I115" s="10">
        <v>299.60000000000002</v>
      </c>
      <c r="J115" s="10">
        <v>299.60000000000002</v>
      </c>
      <c r="K115" s="11">
        <v>3.3E-3</v>
      </c>
      <c r="L115" s="12">
        <v>36910</v>
      </c>
      <c r="M115" s="18"/>
      <c r="N115" s="18"/>
      <c r="O115" s="18"/>
    </row>
    <row r="116" spans="1:15" ht="15" thickBot="1" x14ac:dyDescent="0.4">
      <c r="A116" s="5">
        <v>45895</v>
      </c>
      <c r="B116" s="20" t="str">
        <f>TEXT(Table1[[#This Row],[Date]],"dddd")</f>
        <v>Tuesday</v>
      </c>
      <c r="C116" s="20" t="str">
        <f>TEXT(Table1[[#This Row],[Date]],"mmmm")</f>
        <v>August</v>
      </c>
      <c r="D116" s="20" t="str">
        <f>"Q"&amp;ROUNDUP(MONTH(Table1[[#This Row],[Date]])/3,0)</f>
        <v>Q3</v>
      </c>
      <c r="E116" s="20" t="str">
        <f>TEXT(Table1[[#This Row],[Date]],"yyyy")</f>
        <v>2025</v>
      </c>
      <c r="F116" s="6">
        <v>298</v>
      </c>
      <c r="G116" s="6">
        <v>301.10000000000002</v>
      </c>
      <c r="H116" s="6">
        <v>296.3</v>
      </c>
      <c r="I116" s="6">
        <v>298.60000000000002</v>
      </c>
      <c r="J116" s="6">
        <v>298.60000000000002</v>
      </c>
      <c r="K116" s="13">
        <v>-2.9999999999999997E-4</v>
      </c>
      <c r="L116" s="8">
        <v>109700</v>
      </c>
      <c r="M116" s="17"/>
      <c r="N116" s="17"/>
      <c r="O116" s="17"/>
    </row>
    <row r="117" spans="1:15" ht="15" thickBot="1" x14ac:dyDescent="0.4">
      <c r="A117" s="9">
        <v>45894</v>
      </c>
      <c r="B117" s="21" t="str">
        <f>TEXT(Table1[[#This Row],[Date]],"dddd")</f>
        <v>Monday</v>
      </c>
      <c r="C117" s="21" t="str">
        <f>TEXT(Table1[[#This Row],[Date]],"mmmm")</f>
        <v>August</v>
      </c>
      <c r="D117" s="21" t="str">
        <f>"Q"&amp;ROUNDUP(MONTH(Table1[[#This Row],[Date]])/3,0)</f>
        <v>Q3</v>
      </c>
      <c r="E117" s="21" t="str">
        <f>TEXT(Table1[[#This Row],[Date]],"yyyy")</f>
        <v>2025</v>
      </c>
      <c r="F117" s="10">
        <v>300.89999999999998</v>
      </c>
      <c r="G117" s="10">
        <v>300.89999999999998</v>
      </c>
      <c r="H117" s="10">
        <v>296</v>
      </c>
      <c r="I117" s="10">
        <v>298.7</v>
      </c>
      <c r="J117" s="10">
        <v>298.7</v>
      </c>
      <c r="K117" s="11">
        <v>7.1000000000000004E-3</v>
      </c>
      <c r="L117" s="12">
        <v>57829</v>
      </c>
      <c r="M117" s="18"/>
      <c r="N117" s="18"/>
      <c r="O117" s="18"/>
    </row>
    <row r="118" spans="1:15" ht="15" thickBot="1" x14ac:dyDescent="0.4">
      <c r="A118" s="5">
        <v>45893</v>
      </c>
      <c r="B118" s="20" t="str">
        <f>TEXT(Table1[[#This Row],[Date]],"dddd")</f>
        <v>Sunday</v>
      </c>
      <c r="C118" s="20" t="str">
        <f>TEXT(Table1[[#This Row],[Date]],"mmmm")</f>
        <v>August</v>
      </c>
      <c r="D118" s="20" t="str">
        <f>"Q"&amp;ROUNDUP(MONTH(Table1[[#This Row],[Date]])/3,0)</f>
        <v>Q3</v>
      </c>
      <c r="E118" s="20" t="str">
        <f>TEXT(Table1[[#This Row],[Date]],"yyyy")</f>
        <v>2025</v>
      </c>
      <c r="F118" s="6">
        <v>300</v>
      </c>
      <c r="G118" s="6">
        <v>300</v>
      </c>
      <c r="H118" s="6">
        <v>296</v>
      </c>
      <c r="I118" s="6">
        <v>296.60000000000002</v>
      </c>
      <c r="J118" s="6">
        <v>296.60000000000002</v>
      </c>
      <c r="K118" s="13">
        <v>-8.6999999999999994E-3</v>
      </c>
      <c r="L118" s="8">
        <v>133319</v>
      </c>
      <c r="M118" s="17"/>
      <c r="N118" s="17"/>
      <c r="O118" s="17"/>
    </row>
    <row r="119" spans="1:15" ht="15" thickBot="1" x14ac:dyDescent="0.4">
      <c r="A119" s="9">
        <v>45890</v>
      </c>
      <c r="B119" s="21" t="str">
        <f>TEXT(Table1[[#This Row],[Date]],"dddd")</f>
        <v>Thursday</v>
      </c>
      <c r="C119" s="21" t="str">
        <f>TEXT(Table1[[#This Row],[Date]],"mmmm")</f>
        <v>August</v>
      </c>
      <c r="D119" s="21" t="str">
        <f>"Q"&amp;ROUNDUP(MONTH(Table1[[#This Row],[Date]])/3,0)</f>
        <v>Q3</v>
      </c>
      <c r="E119" s="21" t="str">
        <f>TEXT(Table1[[#This Row],[Date]],"yyyy")</f>
        <v>2025</v>
      </c>
      <c r="F119" s="10">
        <v>300.5</v>
      </c>
      <c r="G119" s="10">
        <v>303.89999999999998</v>
      </c>
      <c r="H119" s="10">
        <v>298.5</v>
      </c>
      <c r="I119" s="10">
        <v>299.2</v>
      </c>
      <c r="J119" s="10">
        <v>299.2</v>
      </c>
      <c r="K119" s="14">
        <v>-8.6E-3</v>
      </c>
      <c r="L119" s="12">
        <v>122478</v>
      </c>
      <c r="M119" s="18"/>
      <c r="N119" s="18"/>
      <c r="O119" s="18"/>
    </row>
    <row r="120" spans="1:15" ht="15" thickBot="1" x14ac:dyDescent="0.4">
      <c r="A120" s="5">
        <v>45889</v>
      </c>
      <c r="B120" s="20" t="str">
        <f>TEXT(Table1[[#This Row],[Date]],"dddd")</f>
        <v>Wednesday</v>
      </c>
      <c r="C120" s="20" t="str">
        <f>TEXT(Table1[[#This Row],[Date]],"mmmm")</f>
        <v>August</v>
      </c>
      <c r="D120" s="20" t="str">
        <f>"Q"&amp;ROUNDUP(MONTH(Table1[[#This Row],[Date]])/3,0)</f>
        <v>Q3</v>
      </c>
      <c r="E120" s="20" t="str">
        <f>TEXT(Table1[[#This Row],[Date]],"yyyy")</f>
        <v>2025</v>
      </c>
      <c r="F120" s="6">
        <v>303</v>
      </c>
      <c r="G120" s="6">
        <v>305</v>
      </c>
      <c r="H120" s="6">
        <v>301</v>
      </c>
      <c r="I120" s="6">
        <v>301.8</v>
      </c>
      <c r="J120" s="6">
        <v>301.8</v>
      </c>
      <c r="K120" s="13">
        <v>-1E-3</v>
      </c>
      <c r="L120" s="8">
        <v>75517</v>
      </c>
      <c r="M120" s="17"/>
      <c r="N120" s="17"/>
      <c r="O120" s="17"/>
    </row>
    <row r="121" spans="1:15" ht="15" thickBot="1" x14ac:dyDescent="0.4">
      <c r="A121" s="9">
        <v>45888</v>
      </c>
      <c r="B121" s="21" t="str">
        <f>TEXT(Table1[[#This Row],[Date]],"dddd")</f>
        <v>Tuesday</v>
      </c>
      <c r="C121" s="21" t="str">
        <f>TEXT(Table1[[#This Row],[Date]],"mmmm")</f>
        <v>August</v>
      </c>
      <c r="D121" s="21" t="str">
        <f>"Q"&amp;ROUNDUP(MONTH(Table1[[#This Row],[Date]])/3,0)</f>
        <v>Q3</v>
      </c>
      <c r="E121" s="21" t="str">
        <f>TEXT(Table1[[#This Row],[Date]],"yyyy")</f>
        <v>2025</v>
      </c>
      <c r="F121" s="10">
        <v>305.89999999999998</v>
      </c>
      <c r="G121" s="10">
        <v>306</v>
      </c>
      <c r="H121" s="10">
        <v>301</v>
      </c>
      <c r="I121" s="10">
        <v>302.10000000000002</v>
      </c>
      <c r="J121" s="10">
        <v>302.10000000000002</v>
      </c>
      <c r="K121" s="14">
        <v>-9.4999999999999998E-3</v>
      </c>
      <c r="L121" s="12">
        <v>141735</v>
      </c>
      <c r="M121" s="18"/>
      <c r="N121" s="18"/>
      <c r="O121" s="18"/>
    </row>
    <row r="122" spans="1:15" ht="15" thickBot="1" x14ac:dyDescent="0.4">
      <c r="A122" s="5">
        <v>45887</v>
      </c>
      <c r="B122" s="20" t="str">
        <f>TEXT(Table1[[#This Row],[Date]],"dddd")</f>
        <v>Monday</v>
      </c>
      <c r="C122" s="20" t="str">
        <f>TEXT(Table1[[#This Row],[Date]],"mmmm")</f>
        <v>August</v>
      </c>
      <c r="D122" s="20" t="str">
        <f>"Q"&amp;ROUNDUP(MONTH(Table1[[#This Row],[Date]])/3,0)</f>
        <v>Q3</v>
      </c>
      <c r="E122" s="20" t="str">
        <f>TEXT(Table1[[#This Row],[Date]],"yyyy")</f>
        <v>2025</v>
      </c>
      <c r="F122" s="6">
        <v>306</v>
      </c>
      <c r="G122" s="6">
        <v>306.39999999999998</v>
      </c>
      <c r="H122" s="6">
        <v>304</v>
      </c>
      <c r="I122" s="6">
        <v>305</v>
      </c>
      <c r="J122" s="6">
        <v>305</v>
      </c>
      <c r="K122" s="7">
        <v>3.8999999999999998E-3</v>
      </c>
      <c r="L122" s="8">
        <v>111618</v>
      </c>
      <c r="M122" s="17"/>
      <c r="N122" s="17"/>
      <c r="O122" s="17"/>
    </row>
    <row r="123" spans="1:15" ht="15" thickBot="1" x14ac:dyDescent="0.4">
      <c r="A123" s="9">
        <v>45886</v>
      </c>
      <c r="B123" s="21" t="str">
        <f>TEXT(Table1[[#This Row],[Date]],"dddd")</f>
        <v>Sunday</v>
      </c>
      <c r="C123" s="21" t="str">
        <f>TEXT(Table1[[#This Row],[Date]],"mmmm")</f>
        <v>August</v>
      </c>
      <c r="D123" s="21" t="str">
        <f>"Q"&amp;ROUNDUP(MONTH(Table1[[#This Row],[Date]])/3,0)</f>
        <v>Q3</v>
      </c>
      <c r="E123" s="21" t="str">
        <f>TEXT(Table1[[#This Row],[Date]],"yyyy")</f>
        <v>2025</v>
      </c>
      <c r="F123" s="10">
        <v>306</v>
      </c>
      <c r="G123" s="10">
        <v>307</v>
      </c>
      <c r="H123" s="10">
        <v>303</v>
      </c>
      <c r="I123" s="10">
        <v>303.8</v>
      </c>
      <c r="J123" s="10">
        <v>303.8</v>
      </c>
      <c r="K123" s="14">
        <v>-3.3E-3</v>
      </c>
      <c r="L123" s="12">
        <v>159016</v>
      </c>
      <c r="M123" s="18"/>
      <c r="N123" s="18"/>
      <c r="O123" s="18"/>
    </row>
    <row r="124" spans="1:15" ht="15" thickBot="1" x14ac:dyDescent="0.4">
      <c r="A124" s="5">
        <v>45883</v>
      </c>
      <c r="B124" s="20" t="str">
        <f>TEXT(Table1[[#This Row],[Date]],"dddd")</f>
        <v>Thursday</v>
      </c>
      <c r="C124" s="20" t="str">
        <f>TEXT(Table1[[#This Row],[Date]],"mmmm")</f>
        <v>August</v>
      </c>
      <c r="D124" s="20" t="str">
        <f>"Q"&amp;ROUNDUP(MONTH(Table1[[#This Row],[Date]])/3,0)</f>
        <v>Q3</v>
      </c>
      <c r="E124" s="20" t="str">
        <f>TEXT(Table1[[#This Row],[Date]],"yyyy")</f>
        <v>2025</v>
      </c>
      <c r="F124" s="6">
        <v>309.89999999999998</v>
      </c>
      <c r="G124" s="6">
        <v>310</v>
      </c>
      <c r="H124" s="6">
        <v>301.39999999999998</v>
      </c>
      <c r="I124" s="6">
        <v>304.8</v>
      </c>
      <c r="J124" s="6">
        <v>304.8</v>
      </c>
      <c r="K124" s="13">
        <v>-3.3300000000000003E-2</v>
      </c>
      <c r="L124" s="8">
        <v>219204</v>
      </c>
      <c r="M124" s="17"/>
      <c r="N124" s="17"/>
      <c r="O124" s="17"/>
    </row>
    <row r="125" spans="1:15" ht="15" thickBot="1" x14ac:dyDescent="0.4">
      <c r="A125" s="9">
        <v>45881</v>
      </c>
      <c r="B125" s="21" t="str">
        <f>TEXT(Table1[[#This Row],[Date]],"dddd")</f>
        <v>Tuesday</v>
      </c>
      <c r="C125" s="21" t="str">
        <f>TEXT(Table1[[#This Row],[Date]],"mmmm")</f>
        <v>August</v>
      </c>
      <c r="D125" s="21" t="str">
        <f>"Q"&amp;ROUNDUP(MONTH(Table1[[#This Row],[Date]])/3,0)</f>
        <v>Q3</v>
      </c>
      <c r="E125" s="21" t="str">
        <f>TEXT(Table1[[#This Row],[Date]],"yyyy")</f>
        <v>2025</v>
      </c>
      <c r="F125" s="10">
        <v>316.8</v>
      </c>
      <c r="G125" s="10">
        <v>317.2</v>
      </c>
      <c r="H125" s="10">
        <v>315</v>
      </c>
      <c r="I125" s="10">
        <v>315.3</v>
      </c>
      <c r="J125" s="10">
        <v>304.3</v>
      </c>
      <c r="K125" s="14">
        <v>-3.8E-3</v>
      </c>
      <c r="L125" s="12">
        <v>154839</v>
      </c>
      <c r="M125" s="18"/>
      <c r="N125" s="18"/>
      <c r="O125" s="18"/>
    </row>
    <row r="126" spans="1:15" ht="15" thickBot="1" x14ac:dyDescent="0.4">
      <c r="A126" s="5">
        <v>45880</v>
      </c>
      <c r="B126" s="20" t="str">
        <f>TEXT(Table1[[#This Row],[Date]],"dddd")</f>
        <v>Monday</v>
      </c>
      <c r="C126" s="20" t="str">
        <f>TEXT(Table1[[#This Row],[Date]],"mmmm")</f>
        <v>August</v>
      </c>
      <c r="D126" s="20" t="str">
        <f>"Q"&amp;ROUNDUP(MONTH(Table1[[#This Row],[Date]])/3,0)</f>
        <v>Q3</v>
      </c>
      <c r="E126" s="20" t="str">
        <f>TEXT(Table1[[#This Row],[Date]],"yyyy")</f>
        <v>2025</v>
      </c>
      <c r="F126" s="6">
        <v>314</v>
      </c>
      <c r="G126" s="6">
        <v>317.5</v>
      </c>
      <c r="H126" s="6">
        <v>314</v>
      </c>
      <c r="I126" s="6">
        <v>316.5</v>
      </c>
      <c r="J126" s="6">
        <v>305.45999999999998</v>
      </c>
      <c r="K126" s="7">
        <v>8.9999999999999998E-4</v>
      </c>
      <c r="L126" s="8">
        <v>113867</v>
      </c>
      <c r="M126" s="17"/>
      <c r="N126" s="17"/>
      <c r="O126" s="17"/>
    </row>
    <row r="127" spans="1:15" ht="15" thickBot="1" x14ac:dyDescent="0.4">
      <c r="A127" s="9">
        <v>45879</v>
      </c>
      <c r="B127" s="21" t="str">
        <f>TEXT(Table1[[#This Row],[Date]],"dddd")</f>
        <v>Sunday</v>
      </c>
      <c r="C127" s="21" t="str">
        <f>TEXT(Table1[[#This Row],[Date]],"mmmm")</f>
        <v>August</v>
      </c>
      <c r="D127" s="21" t="str">
        <f>"Q"&amp;ROUNDUP(MONTH(Table1[[#This Row],[Date]])/3,0)</f>
        <v>Q3</v>
      </c>
      <c r="E127" s="21" t="str">
        <f>TEXT(Table1[[#This Row],[Date]],"yyyy")</f>
        <v>2025</v>
      </c>
      <c r="F127" s="10">
        <v>317</v>
      </c>
      <c r="G127" s="10">
        <v>317.3</v>
      </c>
      <c r="H127" s="10">
        <v>312.8</v>
      </c>
      <c r="I127" s="10">
        <v>316.2</v>
      </c>
      <c r="J127" s="10">
        <v>305.17</v>
      </c>
      <c r="K127" s="11">
        <v>1.6000000000000001E-3</v>
      </c>
      <c r="L127" s="12">
        <v>133369</v>
      </c>
      <c r="M127" s="18"/>
      <c r="N127" s="18"/>
      <c r="O127" s="18"/>
    </row>
    <row r="128" spans="1:15" ht="15" thickBot="1" x14ac:dyDescent="0.4">
      <c r="A128" s="5">
        <v>45876</v>
      </c>
      <c r="B128" s="20" t="str">
        <f>TEXT(Table1[[#This Row],[Date]],"dddd")</f>
        <v>Thursday</v>
      </c>
      <c r="C128" s="20" t="str">
        <f>TEXT(Table1[[#This Row],[Date]],"mmmm")</f>
        <v>August</v>
      </c>
      <c r="D128" s="20" t="str">
        <f>"Q"&amp;ROUNDUP(MONTH(Table1[[#This Row],[Date]])/3,0)</f>
        <v>Q3</v>
      </c>
      <c r="E128" s="20" t="str">
        <f>TEXT(Table1[[#This Row],[Date]],"yyyy")</f>
        <v>2025</v>
      </c>
      <c r="F128" s="6">
        <v>317.10000000000002</v>
      </c>
      <c r="G128" s="6">
        <v>318.7</v>
      </c>
      <c r="H128" s="6">
        <v>315</v>
      </c>
      <c r="I128" s="6">
        <v>315.7</v>
      </c>
      <c r="J128" s="6">
        <v>304.69</v>
      </c>
      <c r="K128" s="13">
        <v>-4.1000000000000003E-3</v>
      </c>
      <c r="L128" s="8">
        <v>142954</v>
      </c>
      <c r="M128" s="17"/>
      <c r="N128" s="17"/>
      <c r="O128" s="17"/>
    </row>
    <row r="129" spans="1:15" ht="15" thickBot="1" x14ac:dyDescent="0.4">
      <c r="A129" s="9">
        <v>45875</v>
      </c>
      <c r="B129" s="21" t="str">
        <f>TEXT(Table1[[#This Row],[Date]],"dddd")</f>
        <v>Wednesday</v>
      </c>
      <c r="C129" s="21" t="str">
        <f>TEXT(Table1[[#This Row],[Date]],"mmmm")</f>
        <v>August</v>
      </c>
      <c r="D129" s="21" t="str">
        <f>"Q"&amp;ROUNDUP(MONTH(Table1[[#This Row],[Date]])/3,0)</f>
        <v>Q3</v>
      </c>
      <c r="E129" s="21" t="str">
        <f>TEXT(Table1[[#This Row],[Date]],"yyyy")</f>
        <v>2025</v>
      </c>
      <c r="F129" s="10">
        <v>320</v>
      </c>
      <c r="G129" s="10">
        <v>321</v>
      </c>
      <c r="H129" s="10">
        <v>315.2</v>
      </c>
      <c r="I129" s="10">
        <v>317</v>
      </c>
      <c r="J129" s="10">
        <v>305.94</v>
      </c>
      <c r="K129" s="14">
        <v>-5.9999999999999995E-4</v>
      </c>
      <c r="L129" s="12">
        <v>310662</v>
      </c>
      <c r="M129" s="18"/>
      <c r="N129" s="18"/>
      <c r="O129" s="18"/>
    </row>
    <row r="130" spans="1:15" ht="15" thickBot="1" x14ac:dyDescent="0.4">
      <c r="A130" s="5">
        <v>45873</v>
      </c>
      <c r="B130" s="20" t="str">
        <f>TEXT(Table1[[#This Row],[Date]],"dddd")</f>
        <v>Monday</v>
      </c>
      <c r="C130" s="20" t="str">
        <f>TEXT(Table1[[#This Row],[Date]],"mmmm")</f>
        <v>August</v>
      </c>
      <c r="D130" s="20" t="str">
        <f>"Q"&amp;ROUNDUP(MONTH(Table1[[#This Row],[Date]])/3,0)</f>
        <v>Q3</v>
      </c>
      <c r="E130" s="20" t="str">
        <f>TEXT(Table1[[#This Row],[Date]],"yyyy")</f>
        <v>2025</v>
      </c>
      <c r="F130" s="6">
        <v>320</v>
      </c>
      <c r="G130" s="6">
        <v>322</v>
      </c>
      <c r="H130" s="6">
        <v>316.3</v>
      </c>
      <c r="I130" s="6">
        <v>317.2</v>
      </c>
      <c r="J130" s="6">
        <v>306.13</v>
      </c>
      <c r="K130" s="13">
        <v>-4.1000000000000003E-3</v>
      </c>
      <c r="L130" s="8">
        <v>178350</v>
      </c>
      <c r="M130" s="17"/>
      <c r="N130" s="17"/>
      <c r="O130" s="17"/>
    </row>
    <row r="131" spans="1:15" ht="15" thickBot="1" x14ac:dyDescent="0.4">
      <c r="A131" s="9">
        <v>45872</v>
      </c>
      <c r="B131" s="21" t="str">
        <f>TEXT(Table1[[#This Row],[Date]],"dddd")</f>
        <v>Sunday</v>
      </c>
      <c r="C131" s="21" t="str">
        <f>TEXT(Table1[[#This Row],[Date]],"mmmm")</f>
        <v>August</v>
      </c>
      <c r="D131" s="21" t="str">
        <f>"Q"&amp;ROUNDUP(MONTH(Table1[[#This Row],[Date]])/3,0)</f>
        <v>Q3</v>
      </c>
      <c r="E131" s="21" t="str">
        <f>TEXT(Table1[[#This Row],[Date]],"yyyy")</f>
        <v>2025</v>
      </c>
      <c r="F131" s="10">
        <v>313.5</v>
      </c>
      <c r="G131" s="10">
        <v>319</v>
      </c>
      <c r="H131" s="10">
        <v>313</v>
      </c>
      <c r="I131" s="10">
        <v>318.5</v>
      </c>
      <c r="J131" s="10">
        <v>307.39</v>
      </c>
      <c r="K131" s="11">
        <v>1.7600000000000001E-2</v>
      </c>
      <c r="L131" s="12">
        <v>132516</v>
      </c>
      <c r="M131" s="18"/>
      <c r="N131" s="18"/>
      <c r="O131" s="18"/>
    </row>
    <row r="132" spans="1:15" ht="15" thickBot="1" x14ac:dyDescent="0.4">
      <c r="A132" s="5">
        <v>45869</v>
      </c>
      <c r="B132" s="20" t="str">
        <f>TEXT(Table1[[#This Row],[Date]],"dddd")</f>
        <v>Thursday</v>
      </c>
      <c r="C132" s="20" t="str">
        <f>TEXT(Table1[[#This Row],[Date]],"mmmm")</f>
        <v>July</v>
      </c>
      <c r="D132" s="20" t="str">
        <f>"Q"&amp;ROUNDUP(MONTH(Table1[[#This Row],[Date]])/3,0)</f>
        <v>Q3</v>
      </c>
      <c r="E132" s="20" t="str">
        <f>TEXT(Table1[[#This Row],[Date]],"yyyy")</f>
        <v>2025</v>
      </c>
      <c r="F132" s="6">
        <v>312.7</v>
      </c>
      <c r="G132" s="6">
        <v>315</v>
      </c>
      <c r="H132" s="6">
        <v>310</v>
      </c>
      <c r="I132" s="6">
        <v>313</v>
      </c>
      <c r="J132" s="6">
        <v>302.08</v>
      </c>
      <c r="K132" s="7">
        <v>1E-3</v>
      </c>
      <c r="L132" s="8">
        <v>199911</v>
      </c>
      <c r="M132" s="17"/>
      <c r="N132" s="17"/>
      <c r="O132" s="17"/>
    </row>
    <row r="133" spans="1:15" ht="15" thickBot="1" x14ac:dyDescent="0.4">
      <c r="A133" s="9">
        <v>45868</v>
      </c>
      <c r="B133" s="21" t="str">
        <f>TEXT(Table1[[#This Row],[Date]],"dddd")</f>
        <v>Wednesday</v>
      </c>
      <c r="C133" s="21" t="str">
        <f>TEXT(Table1[[#This Row],[Date]],"mmmm")</f>
        <v>July</v>
      </c>
      <c r="D133" s="21" t="str">
        <f>"Q"&amp;ROUNDUP(MONTH(Table1[[#This Row],[Date]])/3,0)</f>
        <v>Q3</v>
      </c>
      <c r="E133" s="21" t="str">
        <f>TEXT(Table1[[#This Row],[Date]],"yyyy")</f>
        <v>2025</v>
      </c>
      <c r="F133" s="10">
        <v>310.5</v>
      </c>
      <c r="G133" s="10">
        <v>315</v>
      </c>
      <c r="H133" s="10">
        <v>309.89999999999998</v>
      </c>
      <c r="I133" s="10">
        <v>312.7</v>
      </c>
      <c r="J133" s="10">
        <v>301.79000000000002</v>
      </c>
      <c r="K133" s="11">
        <v>1.6000000000000001E-3</v>
      </c>
      <c r="L133" s="12">
        <v>137076</v>
      </c>
      <c r="M133" s="18"/>
      <c r="N133" s="18"/>
      <c r="O133" s="18"/>
    </row>
    <row r="134" spans="1:15" ht="15" thickBot="1" x14ac:dyDescent="0.4">
      <c r="A134" s="5">
        <v>45867</v>
      </c>
      <c r="B134" s="20" t="str">
        <f>TEXT(Table1[[#This Row],[Date]],"dddd")</f>
        <v>Tuesday</v>
      </c>
      <c r="C134" s="20" t="str">
        <f>TEXT(Table1[[#This Row],[Date]],"mmmm")</f>
        <v>July</v>
      </c>
      <c r="D134" s="20" t="str">
        <f>"Q"&amp;ROUNDUP(MONTH(Table1[[#This Row],[Date]])/3,0)</f>
        <v>Q3</v>
      </c>
      <c r="E134" s="20" t="str">
        <f>TEXT(Table1[[#This Row],[Date]],"yyyy")</f>
        <v>2025</v>
      </c>
      <c r="F134" s="6">
        <v>320</v>
      </c>
      <c r="G134" s="6">
        <v>320</v>
      </c>
      <c r="H134" s="6">
        <v>310.10000000000002</v>
      </c>
      <c r="I134" s="6">
        <v>312.2</v>
      </c>
      <c r="J134" s="6">
        <v>301.31</v>
      </c>
      <c r="K134" s="13">
        <v>-2.2200000000000001E-2</v>
      </c>
      <c r="L134" s="8">
        <v>164025</v>
      </c>
      <c r="M134" s="17"/>
      <c r="N134" s="17"/>
      <c r="O134" s="17"/>
    </row>
    <row r="135" spans="1:15" ht="15" thickBot="1" x14ac:dyDescent="0.4">
      <c r="A135" s="9">
        <v>45866</v>
      </c>
      <c r="B135" s="21" t="str">
        <f>TEXT(Table1[[#This Row],[Date]],"dddd")</f>
        <v>Monday</v>
      </c>
      <c r="C135" s="21" t="str">
        <f>TEXT(Table1[[#This Row],[Date]],"mmmm")</f>
        <v>July</v>
      </c>
      <c r="D135" s="21" t="str">
        <f>"Q"&amp;ROUNDUP(MONTH(Table1[[#This Row],[Date]])/3,0)</f>
        <v>Q3</v>
      </c>
      <c r="E135" s="21" t="str">
        <f>TEXT(Table1[[#This Row],[Date]],"yyyy")</f>
        <v>2025</v>
      </c>
      <c r="F135" s="10">
        <v>320.8</v>
      </c>
      <c r="G135" s="10">
        <v>324.8</v>
      </c>
      <c r="H135" s="10">
        <v>318.10000000000002</v>
      </c>
      <c r="I135" s="10">
        <v>319.3</v>
      </c>
      <c r="J135" s="10">
        <v>308.16000000000003</v>
      </c>
      <c r="K135" s="14">
        <v>-4.7000000000000002E-3</v>
      </c>
      <c r="L135" s="12">
        <v>135219</v>
      </c>
      <c r="M135" s="18"/>
      <c r="N135" s="18"/>
      <c r="O135" s="18"/>
    </row>
    <row r="136" spans="1:15" ht="15" thickBot="1" x14ac:dyDescent="0.4">
      <c r="A136" s="5">
        <v>45865</v>
      </c>
      <c r="B136" s="20" t="str">
        <f>TEXT(Table1[[#This Row],[Date]],"dddd")</f>
        <v>Sunday</v>
      </c>
      <c r="C136" s="20" t="str">
        <f>TEXT(Table1[[#This Row],[Date]],"mmmm")</f>
        <v>July</v>
      </c>
      <c r="D136" s="20" t="str">
        <f>"Q"&amp;ROUNDUP(MONTH(Table1[[#This Row],[Date]])/3,0)</f>
        <v>Q3</v>
      </c>
      <c r="E136" s="20" t="str">
        <f>TEXT(Table1[[#This Row],[Date]],"yyyy")</f>
        <v>2025</v>
      </c>
      <c r="F136" s="6">
        <v>319</v>
      </c>
      <c r="G136" s="6">
        <v>328</v>
      </c>
      <c r="H136" s="6">
        <v>319</v>
      </c>
      <c r="I136" s="6">
        <v>320.8</v>
      </c>
      <c r="J136" s="6">
        <v>309.61</v>
      </c>
      <c r="K136" s="13">
        <v>-8.9999999999999998E-4</v>
      </c>
      <c r="L136" s="8">
        <v>214753</v>
      </c>
      <c r="M136" s="17"/>
      <c r="N136" s="17"/>
      <c r="O136" s="17"/>
    </row>
    <row r="137" spans="1:15" ht="15" thickBot="1" x14ac:dyDescent="0.4">
      <c r="A137" s="9">
        <v>45862</v>
      </c>
      <c r="B137" s="21" t="str">
        <f>TEXT(Table1[[#This Row],[Date]],"dddd")</f>
        <v>Thursday</v>
      </c>
      <c r="C137" s="21" t="str">
        <f>TEXT(Table1[[#This Row],[Date]],"mmmm")</f>
        <v>July</v>
      </c>
      <c r="D137" s="21" t="str">
        <f>"Q"&amp;ROUNDUP(MONTH(Table1[[#This Row],[Date]])/3,0)</f>
        <v>Q3</v>
      </c>
      <c r="E137" s="21" t="str">
        <f>TEXT(Table1[[#This Row],[Date]],"yyyy")</f>
        <v>2025</v>
      </c>
      <c r="F137" s="10">
        <v>323.3</v>
      </c>
      <c r="G137" s="10">
        <v>323.3</v>
      </c>
      <c r="H137" s="10">
        <v>319.8</v>
      </c>
      <c r="I137" s="10">
        <v>321.10000000000002</v>
      </c>
      <c r="J137" s="10">
        <v>309.89999999999998</v>
      </c>
      <c r="K137" s="14">
        <v>-6.7999999999999996E-3</v>
      </c>
      <c r="L137" s="12">
        <v>268454</v>
      </c>
      <c r="M137" s="18"/>
      <c r="N137" s="18"/>
      <c r="O137" s="18"/>
    </row>
    <row r="138" spans="1:15" ht="15" thickBot="1" x14ac:dyDescent="0.4">
      <c r="A138" s="5">
        <v>45861</v>
      </c>
      <c r="B138" s="20" t="str">
        <f>TEXT(Table1[[#This Row],[Date]],"dddd")</f>
        <v>Wednesday</v>
      </c>
      <c r="C138" s="20" t="str">
        <f>TEXT(Table1[[#This Row],[Date]],"mmmm")</f>
        <v>July</v>
      </c>
      <c r="D138" s="20" t="str">
        <f>"Q"&amp;ROUNDUP(MONTH(Table1[[#This Row],[Date]])/3,0)</f>
        <v>Q3</v>
      </c>
      <c r="E138" s="20" t="str">
        <f>TEXT(Table1[[#This Row],[Date]],"yyyy")</f>
        <v>2025</v>
      </c>
      <c r="F138" s="6">
        <v>313.2</v>
      </c>
      <c r="G138" s="6">
        <v>324</v>
      </c>
      <c r="H138" s="6">
        <v>313.2</v>
      </c>
      <c r="I138" s="6">
        <v>323.3</v>
      </c>
      <c r="J138" s="6">
        <v>312.02</v>
      </c>
      <c r="K138" s="7">
        <v>3.1600000000000003E-2</v>
      </c>
      <c r="L138" s="8">
        <v>482561</v>
      </c>
      <c r="M138" s="17"/>
      <c r="N138" s="17"/>
      <c r="O138" s="17"/>
    </row>
    <row r="139" spans="1:15" ht="15" thickBot="1" x14ac:dyDescent="0.4">
      <c r="A139" s="9">
        <v>45860</v>
      </c>
      <c r="B139" s="21" t="str">
        <f>TEXT(Table1[[#This Row],[Date]],"dddd")</f>
        <v>Tuesday</v>
      </c>
      <c r="C139" s="21" t="str">
        <f>TEXT(Table1[[#This Row],[Date]],"mmmm")</f>
        <v>July</v>
      </c>
      <c r="D139" s="21" t="str">
        <f>"Q"&amp;ROUNDUP(MONTH(Table1[[#This Row],[Date]])/3,0)</f>
        <v>Q3</v>
      </c>
      <c r="E139" s="21" t="str">
        <f>TEXT(Table1[[#This Row],[Date]],"yyyy")</f>
        <v>2025</v>
      </c>
      <c r="F139" s="10">
        <v>310.10000000000002</v>
      </c>
      <c r="G139" s="10">
        <v>315</v>
      </c>
      <c r="H139" s="10">
        <v>306.5</v>
      </c>
      <c r="I139" s="10">
        <v>313.39999999999998</v>
      </c>
      <c r="J139" s="10">
        <v>302.47000000000003</v>
      </c>
      <c r="K139" s="11">
        <v>1.06E-2</v>
      </c>
      <c r="L139" s="12">
        <v>147093</v>
      </c>
      <c r="M139" s="18"/>
      <c r="N139" s="18"/>
      <c r="O139" s="18"/>
    </row>
    <row r="140" spans="1:15" ht="15" thickBot="1" x14ac:dyDescent="0.4">
      <c r="A140" s="5">
        <v>45859</v>
      </c>
      <c r="B140" s="20" t="str">
        <f>TEXT(Table1[[#This Row],[Date]],"dddd")</f>
        <v>Monday</v>
      </c>
      <c r="C140" s="20" t="str">
        <f>TEXT(Table1[[#This Row],[Date]],"mmmm")</f>
        <v>July</v>
      </c>
      <c r="D140" s="20" t="str">
        <f>"Q"&amp;ROUNDUP(MONTH(Table1[[#This Row],[Date]])/3,0)</f>
        <v>Q3</v>
      </c>
      <c r="E140" s="20" t="str">
        <f>TEXT(Table1[[#This Row],[Date]],"yyyy")</f>
        <v>2025</v>
      </c>
      <c r="F140" s="6">
        <v>303</v>
      </c>
      <c r="G140" s="6">
        <v>315.5</v>
      </c>
      <c r="H140" s="6">
        <v>303</v>
      </c>
      <c r="I140" s="6">
        <v>310.10000000000002</v>
      </c>
      <c r="J140" s="6">
        <v>299.27999999999997</v>
      </c>
      <c r="K140" s="7">
        <v>2.3400000000000001E-2</v>
      </c>
      <c r="L140" s="8">
        <v>329778</v>
      </c>
      <c r="M140" s="17"/>
      <c r="N140" s="17"/>
      <c r="O140" s="17"/>
    </row>
    <row r="141" spans="1:15" ht="15" thickBot="1" x14ac:dyDescent="0.4">
      <c r="A141" s="9">
        <v>45858</v>
      </c>
      <c r="B141" s="21" t="str">
        <f>TEXT(Table1[[#This Row],[Date]],"dddd")</f>
        <v>Sunday</v>
      </c>
      <c r="C141" s="21" t="str">
        <f>TEXT(Table1[[#This Row],[Date]],"mmmm")</f>
        <v>July</v>
      </c>
      <c r="D141" s="21" t="str">
        <f>"Q"&amp;ROUNDUP(MONTH(Table1[[#This Row],[Date]])/3,0)</f>
        <v>Q3</v>
      </c>
      <c r="E141" s="21" t="str">
        <f>TEXT(Table1[[#This Row],[Date]],"yyyy")</f>
        <v>2025</v>
      </c>
      <c r="F141" s="10">
        <v>300.2</v>
      </c>
      <c r="G141" s="10">
        <v>304.10000000000002</v>
      </c>
      <c r="H141" s="10">
        <v>300.2</v>
      </c>
      <c r="I141" s="10">
        <v>303</v>
      </c>
      <c r="J141" s="10">
        <v>292.43</v>
      </c>
      <c r="K141" s="11">
        <v>9.2999999999999992E-3</v>
      </c>
      <c r="L141" s="12">
        <v>193685</v>
      </c>
      <c r="M141" s="18"/>
      <c r="N141" s="18"/>
      <c r="O141" s="18"/>
    </row>
    <row r="142" spans="1:15" ht="15" thickBot="1" x14ac:dyDescent="0.4">
      <c r="A142" s="5">
        <v>45855</v>
      </c>
      <c r="B142" s="20" t="str">
        <f>TEXT(Table1[[#This Row],[Date]],"dddd")</f>
        <v>Thursday</v>
      </c>
      <c r="C142" s="20" t="str">
        <f>TEXT(Table1[[#This Row],[Date]],"mmmm")</f>
        <v>July</v>
      </c>
      <c r="D142" s="20" t="str">
        <f>"Q"&amp;ROUNDUP(MONTH(Table1[[#This Row],[Date]])/3,0)</f>
        <v>Q3</v>
      </c>
      <c r="E142" s="20" t="str">
        <f>TEXT(Table1[[#This Row],[Date]],"yyyy")</f>
        <v>2025</v>
      </c>
      <c r="F142" s="6">
        <v>298.89999999999998</v>
      </c>
      <c r="G142" s="6">
        <v>303</v>
      </c>
      <c r="H142" s="6">
        <v>297.2</v>
      </c>
      <c r="I142" s="6">
        <v>300.2</v>
      </c>
      <c r="J142" s="6">
        <v>289.73</v>
      </c>
      <c r="K142" s="7">
        <v>1.15E-2</v>
      </c>
      <c r="L142" s="8">
        <v>374850</v>
      </c>
      <c r="M142" s="17"/>
      <c r="N142" s="17"/>
      <c r="O142" s="17"/>
    </row>
    <row r="143" spans="1:15" ht="15" thickBot="1" x14ac:dyDescent="0.4">
      <c r="A143" s="9">
        <v>45854</v>
      </c>
      <c r="B143" s="21" t="str">
        <f>TEXT(Table1[[#This Row],[Date]],"dddd")</f>
        <v>Wednesday</v>
      </c>
      <c r="C143" s="21" t="str">
        <f>TEXT(Table1[[#This Row],[Date]],"mmmm")</f>
        <v>July</v>
      </c>
      <c r="D143" s="21" t="str">
        <f>"Q"&amp;ROUNDUP(MONTH(Table1[[#This Row],[Date]])/3,0)</f>
        <v>Q3</v>
      </c>
      <c r="E143" s="21" t="str">
        <f>TEXT(Table1[[#This Row],[Date]],"yyyy")</f>
        <v>2025</v>
      </c>
      <c r="F143" s="10">
        <v>298</v>
      </c>
      <c r="G143" s="10">
        <v>298</v>
      </c>
      <c r="H143" s="10">
        <v>296</v>
      </c>
      <c r="I143" s="10">
        <v>296.8</v>
      </c>
      <c r="J143" s="10">
        <v>286.45</v>
      </c>
      <c r="K143" s="14">
        <v>-2.7000000000000001E-3</v>
      </c>
      <c r="L143" s="12">
        <v>138626</v>
      </c>
      <c r="M143" s="18"/>
      <c r="N143" s="18"/>
      <c r="O143" s="18"/>
    </row>
    <row r="144" spans="1:15" ht="15" thickBot="1" x14ac:dyDescent="0.4">
      <c r="A144" s="5">
        <v>45853</v>
      </c>
      <c r="B144" s="20" t="str">
        <f>TEXT(Table1[[#This Row],[Date]],"dddd")</f>
        <v>Tuesday</v>
      </c>
      <c r="C144" s="20" t="str">
        <f>TEXT(Table1[[#This Row],[Date]],"mmmm")</f>
        <v>July</v>
      </c>
      <c r="D144" s="20" t="str">
        <f>"Q"&amp;ROUNDUP(MONTH(Table1[[#This Row],[Date]])/3,0)</f>
        <v>Q3</v>
      </c>
      <c r="E144" s="20" t="str">
        <f>TEXT(Table1[[#This Row],[Date]],"yyyy")</f>
        <v>2025</v>
      </c>
      <c r="F144" s="6">
        <v>299</v>
      </c>
      <c r="G144" s="6">
        <v>299</v>
      </c>
      <c r="H144" s="6">
        <v>297.2</v>
      </c>
      <c r="I144" s="6">
        <v>297.60000000000002</v>
      </c>
      <c r="J144" s="6">
        <v>287.22000000000003</v>
      </c>
      <c r="K144" s="13">
        <v>-1.2999999999999999E-3</v>
      </c>
      <c r="L144" s="8">
        <v>104239</v>
      </c>
      <c r="M144" s="17"/>
      <c r="N144" s="17"/>
      <c r="O144" s="17"/>
    </row>
    <row r="145" spans="1:15" ht="15" thickBot="1" x14ac:dyDescent="0.4">
      <c r="A145" s="9">
        <v>45852</v>
      </c>
      <c r="B145" s="21" t="str">
        <f>TEXT(Table1[[#This Row],[Date]],"dddd")</f>
        <v>Monday</v>
      </c>
      <c r="C145" s="21" t="str">
        <f>TEXT(Table1[[#This Row],[Date]],"mmmm")</f>
        <v>July</v>
      </c>
      <c r="D145" s="21" t="str">
        <f>"Q"&amp;ROUNDUP(MONTH(Table1[[#This Row],[Date]])/3,0)</f>
        <v>Q3</v>
      </c>
      <c r="E145" s="21" t="str">
        <f>TEXT(Table1[[#This Row],[Date]],"yyyy")</f>
        <v>2025</v>
      </c>
      <c r="F145" s="10">
        <v>298.60000000000002</v>
      </c>
      <c r="G145" s="10">
        <v>299.7</v>
      </c>
      <c r="H145" s="10">
        <v>297.8</v>
      </c>
      <c r="I145" s="10">
        <v>298</v>
      </c>
      <c r="J145" s="10">
        <v>287.60000000000002</v>
      </c>
      <c r="K145" s="14">
        <v>-5.7000000000000002E-3</v>
      </c>
      <c r="L145" s="12">
        <v>105692</v>
      </c>
      <c r="M145" s="18"/>
      <c r="N145" s="18"/>
      <c r="O145" s="18"/>
    </row>
    <row r="146" spans="1:15" ht="15" thickBot="1" x14ac:dyDescent="0.4">
      <c r="A146" s="5">
        <v>45851</v>
      </c>
      <c r="B146" s="20" t="str">
        <f>TEXT(Table1[[#This Row],[Date]],"dddd")</f>
        <v>Sunday</v>
      </c>
      <c r="C146" s="20" t="str">
        <f>TEXT(Table1[[#This Row],[Date]],"mmmm")</f>
        <v>July</v>
      </c>
      <c r="D146" s="20" t="str">
        <f>"Q"&amp;ROUNDUP(MONTH(Table1[[#This Row],[Date]])/3,0)</f>
        <v>Q3</v>
      </c>
      <c r="E146" s="20" t="str">
        <f>TEXT(Table1[[#This Row],[Date]],"yyyy")</f>
        <v>2025</v>
      </c>
      <c r="F146" s="6">
        <v>300</v>
      </c>
      <c r="G146" s="6">
        <v>300</v>
      </c>
      <c r="H146" s="6">
        <v>297.2</v>
      </c>
      <c r="I146" s="6">
        <v>299.7</v>
      </c>
      <c r="J146" s="6">
        <v>289.24</v>
      </c>
      <c r="K146" s="7">
        <v>1.2999999999999999E-3</v>
      </c>
      <c r="L146" s="8">
        <v>86193</v>
      </c>
      <c r="M146" s="17"/>
      <c r="N146" s="17"/>
      <c r="O146" s="17"/>
    </row>
    <row r="147" spans="1:15" ht="15" thickBot="1" x14ac:dyDescent="0.4">
      <c r="A147" s="9">
        <v>45848</v>
      </c>
      <c r="B147" s="21" t="str">
        <f>TEXT(Table1[[#This Row],[Date]],"dddd")</f>
        <v>Thursday</v>
      </c>
      <c r="C147" s="21" t="str">
        <f>TEXT(Table1[[#This Row],[Date]],"mmmm")</f>
        <v>July</v>
      </c>
      <c r="D147" s="21" t="str">
        <f>"Q"&amp;ROUNDUP(MONTH(Table1[[#This Row],[Date]])/3,0)</f>
        <v>Q3</v>
      </c>
      <c r="E147" s="21" t="str">
        <f>TEXT(Table1[[#This Row],[Date]],"yyyy")</f>
        <v>2025</v>
      </c>
      <c r="F147" s="10">
        <v>299</v>
      </c>
      <c r="G147" s="10">
        <v>301.2</v>
      </c>
      <c r="H147" s="10">
        <v>299</v>
      </c>
      <c r="I147" s="10">
        <v>299.3</v>
      </c>
      <c r="J147" s="10">
        <v>288.86</v>
      </c>
      <c r="K147" s="14">
        <v>-1E-3</v>
      </c>
      <c r="L147" s="12">
        <v>57125</v>
      </c>
      <c r="M147" s="18"/>
      <c r="N147" s="18"/>
      <c r="O147" s="18"/>
    </row>
    <row r="148" spans="1:15" ht="15" thickBot="1" x14ac:dyDescent="0.4">
      <c r="A148" s="5">
        <v>45847</v>
      </c>
      <c r="B148" s="20" t="str">
        <f>TEXT(Table1[[#This Row],[Date]],"dddd")</f>
        <v>Wednesday</v>
      </c>
      <c r="C148" s="20" t="str">
        <f>TEXT(Table1[[#This Row],[Date]],"mmmm")</f>
        <v>July</v>
      </c>
      <c r="D148" s="20" t="str">
        <f>"Q"&amp;ROUNDUP(MONTH(Table1[[#This Row],[Date]])/3,0)</f>
        <v>Q3</v>
      </c>
      <c r="E148" s="20" t="str">
        <f>TEXT(Table1[[#This Row],[Date]],"yyyy")</f>
        <v>2025</v>
      </c>
      <c r="F148" s="6">
        <v>299</v>
      </c>
      <c r="G148" s="6">
        <v>299.89999999999998</v>
      </c>
      <c r="H148" s="6">
        <v>297.10000000000002</v>
      </c>
      <c r="I148" s="6">
        <v>299.60000000000002</v>
      </c>
      <c r="J148" s="6">
        <v>289.14999999999998</v>
      </c>
      <c r="K148" s="7">
        <v>3.0000000000000001E-3</v>
      </c>
      <c r="L148" s="8">
        <v>97404</v>
      </c>
      <c r="M148" s="17"/>
      <c r="N148" s="17"/>
      <c r="O148" s="17"/>
    </row>
    <row r="149" spans="1:15" ht="15" thickBot="1" x14ac:dyDescent="0.4">
      <c r="A149" s="9">
        <v>45846</v>
      </c>
      <c r="B149" s="21" t="str">
        <f>TEXT(Table1[[#This Row],[Date]],"dddd")</f>
        <v>Tuesday</v>
      </c>
      <c r="C149" s="21" t="str">
        <f>TEXT(Table1[[#This Row],[Date]],"mmmm")</f>
        <v>July</v>
      </c>
      <c r="D149" s="21" t="str">
        <f>"Q"&amp;ROUNDUP(MONTH(Table1[[#This Row],[Date]])/3,0)</f>
        <v>Q3</v>
      </c>
      <c r="E149" s="21" t="str">
        <f>TEXT(Table1[[#This Row],[Date]],"yyyy")</f>
        <v>2025</v>
      </c>
      <c r="F149" s="10">
        <v>300</v>
      </c>
      <c r="G149" s="10">
        <v>300</v>
      </c>
      <c r="H149" s="10">
        <v>298</v>
      </c>
      <c r="I149" s="10">
        <v>298.7</v>
      </c>
      <c r="J149" s="10">
        <v>288.27999999999997</v>
      </c>
      <c r="K149" s="14">
        <v>-3.3E-3</v>
      </c>
      <c r="L149" s="12">
        <v>44789</v>
      </c>
      <c r="M149" s="18"/>
      <c r="N149" s="18"/>
      <c r="O149" s="18"/>
    </row>
    <row r="150" spans="1:15" ht="15" thickBot="1" x14ac:dyDescent="0.4">
      <c r="A150" s="5">
        <v>45845</v>
      </c>
      <c r="B150" s="20" t="str">
        <f>TEXT(Table1[[#This Row],[Date]],"dddd")</f>
        <v>Monday</v>
      </c>
      <c r="C150" s="20" t="str">
        <f>TEXT(Table1[[#This Row],[Date]],"mmmm")</f>
        <v>July</v>
      </c>
      <c r="D150" s="20" t="str">
        <f>"Q"&amp;ROUNDUP(MONTH(Table1[[#This Row],[Date]])/3,0)</f>
        <v>Q3</v>
      </c>
      <c r="E150" s="20" t="str">
        <f>TEXT(Table1[[#This Row],[Date]],"yyyy")</f>
        <v>2025</v>
      </c>
      <c r="F150" s="6">
        <v>298.10000000000002</v>
      </c>
      <c r="G150" s="6">
        <v>300.5</v>
      </c>
      <c r="H150" s="6">
        <v>298</v>
      </c>
      <c r="I150" s="6">
        <v>299.7</v>
      </c>
      <c r="J150" s="6">
        <v>289.24</v>
      </c>
      <c r="K150" s="7">
        <v>2.3E-3</v>
      </c>
      <c r="L150" s="8">
        <v>74718</v>
      </c>
      <c r="M150" s="17"/>
      <c r="N150" s="17"/>
      <c r="O150" s="17"/>
    </row>
    <row r="151" spans="1:15" ht="15" thickBot="1" x14ac:dyDescent="0.4">
      <c r="A151" s="9">
        <v>45841</v>
      </c>
      <c r="B151" s="21" t="str">
        <f>TEXT(Table1[[#This Row],[Date]],"dddd")</f>
        <v>Thursday</v>
      </c>
      <c r="C151" s="21" t="str">
        <f>TEXT(Table1[[#This Row],[Date]],"mmmm")</f>
        <v>July</v>
      </c>
      <c r="D151" s="21" t="str">
        <f>"Q"&amp;ROUNDUP(MONTH(Table1[[#This Row],[Date]])/3,0)</f>
        <v>Q3</v>
      </c>
      <c r="E151" s="21" t="str">
        <f>TEXT(Table1[[#This Row],[Date]],"yyyy")</f>
        <v>2025</v>
      </c>
      <c r="F151" s="10">
        <v>300</v>
      </c>
      <c r="G151" s="10">
        <v>300</v>
      </c>
      <c r="H151" s="10">
        <v>297.7</v>
      </c>
      <c r="I151" s="10">
        <v>299</v>
      </c>
      <c r="J151" s="10">
        <v>288.57</v>
      </c>
      <c r="K151" s="14">
        <v>-3.0000000000000001E-3</v>
      </c>
      <c r="L151" s="12">
        <v>58392</v>
      </c>
      <c r="M151" s="18"/>
      <c r="N151" s="18"/>
      <c r="O151" s="18"/>
    </row>
    <row r="152" spans="1:15" ht="15" thickBot="1" x14ac:dyDescent="0.4">
      <c r="A152" s="5">
        <v>45840</v>
      </c>
      <c r="B152" s="20" t="str">
        <f>TEXT(Table1[[#This Row],[Date]],"dddd")</f>
        <v>Wednesday</v>
      </c>
      <c r="C152" s="20" t="str">
        <f>TEXT(Table1[[#This Row],[Date]],"mmmm")</f>
        <v>July</v>
      </c>
      <c r="D152" s="20" t="str">
        <f>"Q"&amp;ROUNDUP(MONTH(Table1[[#This Row],[Date]])/3,0)</f>
        <v>Q3</v>
      </c>
      <c r="E152" s="20" t="str">
        <f>TEXT(Table1[[#This Row],[Date]],"yyyy")</f>
        <v>2025</v>
      </c>
      <c r="F152" s="6">
        <v>302.39999999999998</v>
      </c>
      <c r="G152" s="6">
        <v>302.39999999999998</v>
      </c>
      <c r="H152" s="6">
        <v>296.10000000000002</v>
      </c>
      <c r="I152" s="6">
        <v>299.89999999999998</v>
      </c>
      <c r="J152" s="6">
        <v>289.44</v>
      </c>
      <c r="K152" s="13">
        <v>-1.06E-2</v>
      </c>
      <c r="L152" s="8">
        <v>78532</v>
      </c>
      <c r="M152" s="17"/>
      <c r="N152" s="17"/>
      <c r="O152" s="17"/>
    </row>
    <row r="153" spans="1:15" ht="15" thickBot="1" x14ac:dyDescent="0.4">
      <c r="A153" s="9">
        <v>45838</v>
      </c>
      <c r="B153" s="21" t="str">
        <f>TEXT(Table1[[#This Row],[Date]],"dddd")</f>
        <v>Monday</v>
      </c>
      <c r="C153" s="21" t="str">
        <f>TEXT(Table1[[#This Row],[Date]],"mmmm")</f>
        <v>June</v>
      </c>
      <c r="D153" s="21" t="str">
        <f>"Q"&amp;ROUNDUP(MONTH(Table1[[#This Row],[Date]])/3,0)</f>
        <v>Q2</v>
      </c>
      <c r="E153" s="21" t="str">
        <f>TEXT(Table1[[#This Row],[Date]],"yyyy")</f>
        <v>2025</v>
      </c>
      <c r="F153" s="10">
        <v>303</v>
      </c>
      <c r="G153" s="10">
        <v>303.8</v>
      </c>
      <c r="H153" s="10">
        <v>302</v>
      </c>
      <c r="I153" s="10">
        <v>303.10000000000002</v>
      </c>
      <c r="J153" s="10">
        <v>292.52999999999997</v>
      </c>
      <c r="K153" s="14">
        <v>-1.2999999999999999E-3</v>
      </c>
      <c r="L153" s="12">
        <v>103991</v>
      </c>
      <c r="M153" s="18"/>
      <c r="N153" s="18"/>
      <c r="O153" s="18"/>
    </row>
    <row r="154" spans="1:15" ht="15" thickBot="1" x14ac:dyDescent="0.4">
      <c r="A154" s="5">
        <v>45837</v>
      </c>
      <c r="B154" s="20" t="str">
        <f>TEXT(Table1[[#This Row],[Date]],"dddd")</f>
        <v>Sunday</v>
      </c>
      <c r="C154" s="20" t="str">
        <f>TEXT(Table1[[#This Row],[Date]],"mmmm")</f>
        <v>June</v>
      </c>
      <c r="D154" s="20" t="str">
        <f>"Q"&amp;ROUNDUP(MONTH(Table1[[#This Row],[Date]])/3,0)</f>
        <v>Q2</v>
      </c>
      <c r="E154" s="20" t="str">
        <f>TEXT(Table1[[#This Row],[Date]],"yyyy")</f>
        <v>2025</v>
      </c>
      <c r="F154" s="6">
        <v>302.7</v>
      </c>
      <c r="G154" s="6">
        <v>305</v>
      </c>
      <c r="H154" s="6">
        <v>302</v>
      </c>
      <c r="I154" s="6">
        <v>303.5</v>
      </c>
      <c r="J154" s="6">
        <v>292.91000000000003</v>
      </c>
      <c r="K154" s="7">
        <v>2.5999999999999999E-3</v>
      </c>
      <c r="L154" s="8">
        <v>131237</v>
      </c>
      <c r="M154" s="17"/>
      <c r="N154" s="17"/>
      <c r="O154" s="17"/>
    </row>
    <row r="155" spans="1:15" ht="15" thickBot="1" x14ac:dyDescent="0.4">
      <c r="A155" s="9">
        <v>45834</v>
      </c>
      <c r="B155" s="21" t="str">
        <f>TEXT(Table1[[#This Row],[Date]],"dddd")</f>
        <v>Thursday</v>
      </c>
      <c r="C155" s="21" t="str">
        <f>TEXT(Table1[[#This Row],[Date]],"mmmm")</f>
        <v>June</v>
      </c>
      <c r="D155" s="21" t="str">
        <f>"Q"&amp;ROUNDUP(MONTH(Table1[[#This Row],[Date]])/3,0)</f>
        <v>Q2</v>
      </c>
      <c r="E155" s="21" t="str">
        <f>TEXT(Table1[[#This Row],[Date]],"yyyy")</f>
        <v>2025</v>
      </c>
      <c r="F155" s="10">
        <v>297.3</v>
      </c>
      <c r="G155" s="10">
        <v>303.2</v>
      </c>
      <c r="H155" s="10">
        <v>295.7</v>
      </c>
      <c r="I155" s="10">
        <v>302.7</v>
      </c>
      <c r="J155" s="10">
        <v>292.14</v>
      </c>
      <c r="K155" s="11">
        <v>2.3300000000000001E-2</v>
      </c>
      <c r="L155" s="12">
        <v>123842</v>
      </c>
      <c r="M155" s="18"/>
      <c r="N155" s="18"/>
      <c r="O155" s="18"/>
    </row>
    <row r="156" spans="1:15" ht="15" thickBot="1" x14ac:dyDescent="0.4">
      <c r="A156" s="5">
        <v>45833</v>
      </c>
      <c r="B156" s="20" t="str">
        <f>TEXT(Table1[[#This Row],[Date]],"dddd")</f>
        <v>Wednesday</v>
      </c>
      <c r="C156" s="20" t="str">
        <f>TEXT(Table1[[#This Row],[Date]],"mmmm")</f>
        <v>June</v>
      </c>
      <c r="D156" s="20" t="str">
        <f>"Q"&amp;ROUNDUP(MONTH(Table1[[#This Row],[Date]])/3,0)</f>
        <v>Q2</v>
      </c>
      <c r="E156" s="20" t="str">
        <f>TEXT(Table1[[#This Row],[Date]],"yyyy")</f>
        <v>2025</v>
      </c>
      <c r="F156" s="6">
        <v>295</v>
      </c>
      <c r="G156" s="6">
        <v>297</v>
      </c>
      <c r="H156" s="6">
        <v>295</v>
      </c>
      <c r="I156" s="6">
        <v>295.8</v>
      </c>
      <c r="J156" s="6">
        <v>285.48</v>
      </c>
      <c r="K156" s="7">
        <v>2.9999999999999997E-4</v>
      </c>
      <c r="L156" s="8">
        <v>46252</v>
      </c>
      <c r="M156" s="17"/>
      <c r="N156" s="17"/>
      <c r="O156" s="17"/>
    </row>
    <row r="157" spans="1:15" ht="15" thickBot="1" x14ac:dyDescent="0.4">
      <c r="A157" s="9">
        <v>45832</v>
      </c>
      <c r="B157" s="21" t="str">
        <f>TEXT(Table1[[#This Row],[Date]],"dddd")</f>
        <v>Tuesday</v>
      </c>
      <c r="C157" s="21" t="str">
        <f>TEXT(Table1[[#This Row],[Date]],"mmmm")</f>
        <v>June</v>
      </c>
      <c r="D157" s="21" t="str">
        <f>"Q"&amp;ROUNDUP(MONTH(Table1[[#This Row],[Date]])/3,0)</f>
        <v>Q2</v>
      </c>
      <c r="E157" s="21" t="str">
        <f>TEXT(Table1[[#This Row],[Date]],"yyyy")</f>
        <v>2025</v>
      </c>
      <c r="F157" s="10">
        <v>297</v>
      </c>
      <c r="G157" s="10">
        <v>297</v>
      </c>
      <c r="H157" s="10">
        <v>295</v>
      </c>
      <c r="I157" s="10">
        <v>295.7</v>
      </c>
      <c r="J157" s="10">
        <v>285.38</v>
      </c>
      <c r="K157" s="11">
        <v>6.9999999999999999E-4</v>
      </c>
      <c r="L157" s="12">
        <v>46137</v>
      </c>
      <c r="M157" s="18"/>
      <c r="N157" s="18"/>
      <c r="O157" s="18"/>
    </row>
    <row r="158" spans="1:15" ht="15" thickBot="1" x14ac:dyDescent="0.4">
      <c r="A158" s="5">
        <v>45831</v>
      </c>
      <c r="B158" s="20" t="str">
        <f>TEXT(Table1[[#This Row],[Date]],"dddd")</f>
        <v>Monday</v>
      </c>
      <c r="C158" s="20" t="str">
        <f>TEXT(Table1[[#This Row],[Date]],"mmmm")</f>
        <v>June</v>
      </c>
      <c r="D158" s="20" t="str">
        <f>"Q"&amp;ROUNDUP(MONTH(Table1[[#This Row],[Date]])/3,0)</f>
        <v>Q2</v>
      </c>
      <c r="E158" s="20" t="str">
        <f>TEXT(Table1[[#This Row],[Date]],"yyyy")</f>
        <v>2025</v>
      </c>
      <c r="F158" s="6">
        <v>290.2</v>
      </c>
      <c r="G158" s="6">
        <v>298</v>
      </c>
      <c r="H158" s="6">
        <v>290.2</v>
      </c>
      <c r="I158" s="6">
        <v>295.5</v>
      </c>
      <c r="J158" s="6">
        <v>285.19</v>
      </c>
      <c r="K158" s="7">
        <v>1.9E-2</v>
      </c>
      <c r="L158" s="8">
        <v>63510</v>
      </c>
      <c r="M158" s="17"/>
      <c r="N158" s="17"/>
      <c r="O158" s="17"/>
    </row>
    <row r="159" spans="1:15" ht="15" thickBot="1" x14ac:dyDescent="0.4">
      <c r="A159" s="9">
        <v>45830</v>
      </c>
      <c r="B159" s="21" t="str">
        <f>TEXT(Table1[[#This Row],[Date]],"dddd")</f>
        <v>Sunday</v>
      </c>
      <c r="C159" s="21" t="str">
        <f>TEXT(Table1[[#This Row],[Date]],"mmmm")</f>
        <v>June</v>
      </c>
      <c r="D159" s="21" t="str">
        <f>"Q"&amp;ROUNDUP(MONTH(Table1[[#This Row],[Date]])/3,0)</f>
        <v>Q2</v>
      </c>
      <c r="E159" s="21" t="str">
        <f>TEXT(Table1[[#This Row],[Date]],"yyyy")</f>
        <v>2025</v>
      </c>
      <c r="F159" s="10">
        <v>294</v>
      </c>
      <c r="G159" s="10">
        <v>294</v>
      </c>
      <c r="H159" s="10">
        <v>287.8</v>
      </c>
      <c r="I159" s="10">
        <v>290</v>
      </c>
      <c r="J159" s="10">
        <v>279.88</v>
      </c>
      <c r="K159" s="14">
        <v>-1.43E-2</v>
      </c>
      <c r="L159" s="12">
        <v>39245</v>
      </c>
      <c r="M159" s="18"/>
      <c r="N159" s="18"/>
      <c r="O159" s="18"/>
    </row>
    <row r="160" spans="1:15" ht="15" thickBot="1" x14ac:dyDescent="0.4">
      <c r="A160" s="5">
        <v>45827</v>
      </c>
      <c r="B160" s="20" t="str">
        <f>TEXT(Table1[[#This Row],[Date]],"dddd")</f>
        <v>Thursday</v>
      </c>
      <c r="C160" s="20" t="str">
        <f>TEXT(Table1[[#This Row],[Date]],"mmmm")</f>
        <v>June</v>
      </c>
      <c r="D160" s="20" t="str">
        <f>"Q"&amp;ROUNDUP(MONTH(Table1[[#This Row],[Date]])/3,0)</f>
        <v>Q2</v>
      </c>
      <c r="E160" s="20" t="str">
        <f>TEXT(Table1[[#This Row],[Date]],"yyyy")</f>
        <v>2025</v>
      </c>
      <c r="F160" s="6">
        <v>296.60000000000002</v>
      </c>
      <c r="G160" s="6">
        <v>299.2</v>
      </c>
      <c r="H160" s="6">
        <v>291.5</v>
      </c>
      <c r="I160" s="6">
        <v>294.2</v>
      </c>
      <c r="J160" s="6">
        <v>283.94</v>
      </c>
      <c r="K160" s="7">
        <v>9.5999999999999992E-3</v>
      </c>
      <c r="L160" s="8">
        <v>66928</v>
      </c>
      <c r="M160" s="17"/>
      <c r="N160" s="17"/>
      <c r="O160" s="17"/>
    </row>
    <row r="161" spans="1:15" ht="15" thickBot="1" x14ac:dyDescent="0.4">
      <c r="A161" s="9">
        <v>45826</v>
      </c>
      <c r="B161" s="21" t="str">
        <f>TEXT(Table1[[#This Row],[Date]],"dddd")</f>
        <v>Wednesday</v>
      </c>
      <c r="C161" s="21" t="str">
        <f>TEXT(Table1[[#This Row],[Date]],"mmmm")</f>
        <v>June</v>
      </c>
      <c r="D161" s="21" t="str">
        <f>"Q"&amp;ROUNDUP(MONTH(Table1[[#This Row],[Date]])/3,0)</f>
        <v>Q2</v>
      </c>
      <c r="E161" s="21" t="str">
        <f>TEXT(Table1[[#This Row],[Date]],"yyyy")</f>
        <v>2025</v>
      </c>
      <c r="F161" s="10">
        <v>285</v>
      </c>
      <c r="G161" s="10">
        <v>295</v>
      </c>
      <c r="H161" s="10">
        <v>284.5</v>
      </c>
      <c r="I161" s="10">
        <v>291.39999999999998</v>
      </c>
      <c r="J161" s="10">
        <v>281.23</v>
      </c>
      <c r="K161" s="11">
        <v>2.3900000000000001E-2</v>
      </c>
      <c r="L161" s="12">
        <v>96198</v>
      </c>
      <c r="M161" s="18"/>
      <c r="N161" s="18"/>
      <c r="O161" s="18"/>
    </row>
    <row r="162" spans="1:15" ht="15" thickBot="1" x14ac:dyDescent="0.4">
      <c r="A162" s="5">
        <v>45825</v>
      </c>
      <c r="B162" s="20" t="str">
        <f>TEXT(Table1[[#This Row],[Date]],"dddd")</f>
        <v>Tuesday</v>
      </c>
      <c r="C162" s="20" t="str">
        <f>TEXT(Table1[[#This Row],[Date]],"mmmm")</f>
        <v>June</v>
      </c>
      <c r="D162" s="20" t="str">
        <f>"Q"&amp;ROUNDUP(MONTH(Table1[[#This Row],[Date]])/3,0)</f>
        <v>Q2</v>
      </c>
      <c r="E162" s="20" t="str">
        <f>TEXT(Table1[[#This Row],[Date]],"yyyy")</f>
        <v>2025</v>
      </c>
      <c r="F162" s="6">
        <v>286.60000000000002</v>
      </c>
      <c r="G162" s="6">
        <v>287.60000000000002</v>
      </c>
      <c r="H162" s="6">
        <v>284</v>
      </c>
      <c r="I162" s="6">
        <v>284.60000000000002</v>
      </c>
      <c r="J162" s="6">
        <v>274.67</v>
      </c>
      <c r="K162" s="13">
        <v>-6.3E-3</v>
      </c>
      <c r="L162" s="8">
        <v>46813</v>
      </c>
      <c r="M162" s="17"/>
      <c r="N162" s="17"/>
      <c r="O162" s="17"/>
    </row>
    <row r="163" spans="1:15" ht="15" thickBot="1" x14ac:dyDescent="0.4">
      <c r="A163" s="9">
        <v>45824</v>
      </c>
      <c r="B163" s="21" t="str">
        <f>TEXT(Table1[[#This Row],[Date]],"dddd")</f>
        <v>Monday</v>
      </c>
      <c r="C163" s="21" t="str">
        <f>TEXT(Table1[[#This Row],[Date]],"mmmm")</f>
        <v>June</v>
      </c>
      <c r="D163" s="21" t="str">
        <f>"Q"&amp;ROUNDUP(MONTH(Table1[[#This Row],[Date]])/3,0)</f>
        <v>Q2</v>
      </c>
      <c r="E163" s="21" t="str">
        <f>TEXT(Table1[[#This Row],[Date]],"yyyy")</f>
        <v>2025</v>
      </c>
      <c r="F163" s="10">
        <v>285.10000000000002</v>
      </c>
      <c r="G163" s="10">
        <v>286.89999999999998</v>
      </c>
      <c r="H163" s="10">
        <v>284.60000000000002</v>
      </c>
      <c r="I163" s="10">
        <v>286.39999999999998</v>
      </c>
      <c r="J163" s="10">
        <v>276.41000000000003</v>
      </c>
      <c r="K163" s="11">
        <v>7.4000000000000003E-3</v>
      </c>
      <c r="L163" s="12">
        <v>40855</v>
      </c>
      <c r="M163" s="18"/>
      <c r="N163" s="18"/>
      <c r="O163" s="18"/>
    </row>
    <row r="164" spans="1:15" ht="15" thickBot="1" x14ac:dyDescent="0.4">
      <c r="A164" s="5">
        <v>45823</v>
      </c>
      <c r="B164" s="20" t="str">
        <f>TEXT(Table1[[#This Row],[Date]],"dddd")</f>
        <v>Sunday</v>
      </c>
      <c r="C164" s="20" t="str">
        <f>TEXT(Table1[[#This Row],[Date]],"mmmm")</f>
        <v>June</v>
      </c>
      <c r="D164" s="20" t="str">
        <f>"Q"&amp;ROUNDUP(MONTH(Table1[[#This Row],[Date]])/3,0)</f>
        <v>Q2</v>
      </c>
      <c r="E164" s="20" t="str">
        <f>TEXT(Table1[[#This Row],[Date]],"yyyy")</f>
        <v>2025</v>
      </c>
      <c r="F164" s="6">
        <v>285</v>
      </c>
      <c r="G164" s="6">
        <v>287.8</v>
      </c>
      <c r="H164" s="6">
        <v>280.5</v>
      </c>
      <c r="I164" s="6">
        <v>284.3</v>
      </c>
      <c r="J164" s="6">
        <v>274.38</v>
      </c>
      <c r="K164" s="13">
        <v>-6.6E-3</v>
      </c>
      <c r="L164" s="8">
        <v>33271</v>
      </c>
      <c r="M164" s="17"/>
      <c r="N164" s="17"/>
      <c r="O164" s="17"/>
    </row>
    <row r="165" spans="1:15" ht="15" thickBot="1" x14ac:dyDescent="0.4">
      <c r="A165" s="9">
        <v>45812</v>
      </c>
      <c r="B165" s="21" t="str">
        <f>TEXT(Table1[[#This Row],[Date]],"dddd")</f>
        <v>Wednesday</v>
      </c>
      <c r="C165" s="21" t="str">
        <f>TEXT(Table1[[#This Row],[Date]],"mmmm")</f>
        <v>June</v>
      </c>
      <c r="D165" s="21" t="str">
        <f>"Q"&amp;ROUNDUP(MONTH(Table1[[#This Row],[Date]])/3,0)</f>
        <v>Q2</v>
      </c>
      <c r="E165" s="21" t="str">
        <f>TEXT(Table1[[#This Row],[Date]],"yyyy")</f>
        <v>2025</v>
      </c>
      <c r="F165" s="10">
        <v>284.60000000000002</v>
      </c>
      <c r="G165" s="10">
        <v>286.8</v>
      </c>
      <c r="H165" s="10">
        <v>284</v>
      </c>
      <c r="I165" s="10">
        <v>286.2</v>
      </c>
      <c r="J165" s="10">
        <v>276.22000000000003</v>
      </c>
      <c r="K165" s="11">
        <v>6.3E-3</v>
      </c>
      <c r="L165" s="12">
        <v>44456</v>
      </c>
      <c r="M165" s="18"/>
      <c r="N165" s="18"/>
      <c r="O165" s="18"/>
    </row>
    <row r="166" spans="1:15" ht="15" thickBot="1" x14ac:dyDescent="0.4">
      <c r="A166" s="5">
        <v>45811</v>
      </c>
      <c r="B166" s="20" t="str">
        <f>TEXT(Table1[[#This Row],[Date]],"dddd")</f>
        <v>Tuesday</v>
      </c>
      <c r="C166" s="20" t="str">
        <f>TEXT(Table1[[#This Row],[Date]],"mmmm")</f>
        <v>June</v>
      </c>
      <c r="D166" s="20" t="str">
        <f>"Q"&amp;ROUNDUP(MONTH(Table1[[#This Row],[Date]])/3,0)</f>
        <v>Q2</v>
      </c>
      <c r="E166" s="20" t="str">
        <f>TEXT(Table1[[#This Row],[Date]],"yyyy")</f>
        <v>2025</v>
      </c>
      <c r="F166" s="6">
        <v>288.2</v>
      </c>
      <c r="G166" s="6">
        <v>288.3</v>
      </c>
      <c r="H166" s="6">
        <v>284</v>
      </c>
      <c r="I166" s="6">
        <v>284.39999999999998</v>
      </c>
      <c r="J166" s="6">
        <v>274.48</v>
      </c>
      <c r="K166" s="13">
        <v>-9.7000000000000003E-3</v>
      </c>
      <c r="L166" s="8">
        <v>38164</v>
      </c>
      <c r="M166" s="17"/>
      <c r="N166" s="17"/>
      <c r="O166" s="17"/>
    </row>
    <row r="167" spans="1:15" ht="15" thickBot="1" x14ac:dyDescent="0.4">
      <c r="A167" s="9">
        <v>45810</v>
      </c>
      <c r="B167" s="21" t="str">
        <f>TEXT(Table1[[#This Row],[Date]],"dddd")</f>
        <v>Monday</v>
      </c>
      <c r="C167" s="21" t="str">
        <f>TEXT(Table1[[#This Row],[Date]],"mmmm")</f>
        <v>June</v>
      </c>
      <c r="D167" s="21" t="str">
        <f>"Q"&amp;ROUNDUP(MONTH(Table1[[#This Row],[Date]])/3,0)</f>
        <v>Q2</v>
      </c>
      <c r="E167" s="21" t="str">
        <f>TEXT(Table1[[#This Row],[Date]],"yyyy")</f>
        <v>2025</v>
      </c>
      <c r="F167" s="10">
        <v>288.5</v>
      </c>
      <c r="G167" s="10">
        <v>288.5</v>
      </c>
      <c r="H167" s="10">
        <v>284.10000000000002</v>
      </c>
      <c r="I167" s="10">
        <v>287.2</v>
      </c>
      <c r="J167" s="10">
        <v>277.18</v>
      </c>
      <c r="K167" s="11">
        <v>2.9999999999999997E-4</v>
      </c>
      <c r="L167" s="12">
        <v>39986</v>
      </c>
      <c r="M167" s="18"/>
      <c r="N167" s="18"/>
      <c r="O167" s="18"/>
    </row>
    <row r="168" spans="1:15" ht="15" thickBot="1" x14ac:dyDescent="0.4">
      <c r="A168" s="5">
        <v>45809</v>
      </c>
      <c r="B168" s="20" t="str">
        <f>TEXT(Table1[[#This Row],[Date]],"dddd")</f>
        <v>Sunday</v>
      </c>
      <c r="C168" s="20" t="str">
        <f>TEXT(Table1[[#This Row],[Date]],"mmmm")</f>
        <v>June</v>
      </c>
      <c r="D168" s="20" t="str">
        <f>"Q"&amp;ROUNDUP(MONTH(Table1[[#This Row],[Date]])/3,0)</f>
        <v>Q2</v>
      </c>
      <c r="E168" s="20" t="str">
        <f>TEXT(Table1[[#This Row],[Date]],"yyyy")</f>
        <v>2025</v>
      </c>
      <c r="F168" s="6">
        <v>286</v>
      </c>
      <c r="G168" s="6">
        <v>287.7</v>
      </c>
      <c r="H168" s="6">
        <v>282</v>
      </c>
      <c r="I168" s="6">
        <v>287.10000000000002</v>
      </c>
      <c r="J168" s="6">
        <v>277.08</v>
      </c>
      <c r="K168" s="7">
        <v>1.3100000000000001E-2</v>
      </c>
      <c r="L168" s="8">
        <v>62011</v>
      </c>
      <c r="M168" s="17"/>
      <c r="N168" s="17"/>
      <c r="O168" s="17"/>
    </row>
    <row r="169" spans="1:15" ht="15" thickBot="1" x14ac:dyDescent="0.4">
      <c r="A169" s="9">
        <v>45806</v>
      </c>
      <c r="B169" s="21" t="str">
        <f>TEXT(Table1[[#This Row],[Date]],"dddd")</f>
        <v>Thursday</v>
      </c>
      <c r="C169" s="21" t="str">
        <f>TEXT(Table1[[#This Row],[Date]],"mmmm")</f>
        <v>May</v>
      </c>
      <c r="D169" s="21" t="str">
        <f>"Q"&amp;ROUNDUP(MONTH(Table1[[#This Row],[Date]])/3,0)</f>
        <v>Q2</v>
      </c>
      <c r="E169" s="21" t="str">
        <f>TEXT(Table1[[#This Row],[Date]],"yyyy")</f>
        <v>2025</v>
      </c>
      <c r="F169" s="10">
        <v>275.5</v>
      </c>
      <c r="G169" s="10">
        <v>295</v>
      </c>
      <c r="H169" s="10">
        <v>271.10000000000002</v>
      </c>
      <c r="I169" s="10">
        <v>283.39999999999998</v>
      </c>
      <c r="J169" s="10">
        <v>273.51</v>
      </c>
      <c r="K169" s="11">
        <v>3.73E-2</v>
      </c>
      <c r="L169" s="12">
        <v>72954</v>
      </c>
      <c r="M169" s="18"/>
      <c r="N169" s="18"/>
      <c r="O169" s="18"/>
    </row>
    <row r="170" spans="1:15" ht="15" thickBot="1" x14ac:dyDescent="0.4">
      <c r="A170" s="5">
        <v>45805</v>
      </c>
      <c r="B170" s="20" t="str">
        <f>TEXT(Table1[[#This Row],[Date]],"dddd")</f>
        <v>Wednesday</v>
      </c>
      <c r="C170" s="20" t="str">
        <f>TEXT(Table1[[#This Row],[Date]],"mmmm")</f>
        <v>May</v>
      </c>
      <c r="D170" s="20" t="str">
        <f>"Q"&amp;ROUNDUP(MONTH(Table1[[#This Row],[Date]])/3,0)</f>
        <v>Q2</v>
      </c>
      <c r="E170" s="20" t="str">
        <f>TEXT(Table1[[#This Row],[Date]],"yyyy")</f>
        <v>2025</v>
      </c>
      <c r="F170" s="6">
        <v>274.7</v>
      </c>
      <c r="G170" s="6">
        <v>274.7</v>
      </c>
      <c r="H170" s="6">
        <v>272.2</v>
      </c>
      <c r="I170" s="6">
        <v>273.2</v>
      </c>
      <c r="J170" s="6">
        <v>263.67</v>
      </c>
      <c r="K170" s="13">
        <v>-1.5E-3</v>
      </c>
      <c r="L170" s="8">
        <v>27890</v>
      </c>
      <c r="M170" s="17"/>
      <c r="N170" s="17"/>
      <c r="O170" s="17"/>
    </row>
    <row r="171" spans="1:15" ht="15" thickBot="1" x14ac:dyDescent="0.4">
      <c r="A171" s="9">
        <v>45804</v>
      </c>
      <c r="B171" s="21" t="str">
        <f>TEXT(Table1[[#This Row],[Date]],"dddd")</f>
        <v>Tuesday</v>
      </c>
      <c r="C171" s="21" t="str">
        <f>TEXT(Table1[[#This Row],[Date]],"mmmm")</f>
        <v>May</v>
      </c>
      <c r="D171" s="21" t="str">
        <f>"Q"&amp;ROUNDUP(MONTH(Table1[[#This Row],[Date]])/3,0)</f>
        <v>Q2</v>
      </c>
      <c r="E171" s="21" t="str">
        <f>TEXT(Table1[[#This Row],[Date]],"yyyy")</f>
        <v>2025</v>
      </c>
      <c r="F171" s="10">
        <v>270</v>
      </c>
      <c r="G171" s="10">
        <v>275</v>
      </c>
      <c r="H171" s="10">
        <v>270</v>
      </c>
      <c r="I171" s="10">
        <v>273.60000000000002</v>
      </c>
      <c r="J171" s="10">
        <v>264.05</v>
      </c>
      <c r="K171" s="11">
        <v>8.8000000000000005E-3</v>
      </c>
      <c r="L171" s="12">
        <v>66709</v>
      </c>
      <c r="M171" s="18"/>
      <c r="N171" s="18"/>
      <c r="O171" s="18"/>
    </row>
    <row r="172" spans="1:15" ht="15" thickBot="1" x14ac:dyDescent="0.4">
      <c r="A172" s="5">
        <v>45803</v>
      </c>
      <c r="B172" s="20" t="str">
        <f>TEXT(Table1[[#This Row],[Date]],"dddd")</f>
        <v>Monday</v>
      </c>
      <c r="C172" s="20" t="str">
        <f>TEXT(Table1[[#This Row],[Date]],"mmmm")</f>
        <v>May</v>
      </c>
      <c r="D172" s="20" t="str">
        <f>"Q"&amp;ROUNDUP(MONTH(Table1[[#This Row],[Date]])/3,0)</f>
        <v>Q2</v>
      </c>
      <c r="E172" s="20" t="str">
        <f>TEXT(Table1[[#This Row],[Date]],"yyyy")</f>
        <v>2025</v>
      </c>
      <c r="F172" s="6">
        <v>270.10000000000002</v>
      </c>
      <c r="G172" s="6">
        <v>272.7</v>
      </c>
      <c r="H172" s="6">
        <v>270</v>
      </c>
      <c r="I172" s="6">
        <v>271.2</v>
      </c>
      <c r="J172" s="6">
        <v>261.74</v>
      </c>
      <c r="K172" s="13">
        <v>-4.0000000000000001E-3</v>
      </c>
      <c r="L172" s="8">
        <v>61270</v>
      </c>
      <c r="M172" s="17"/>
      <c r="N172" s="17"/>
      <c r="O172" s="17"/>
    </row>
    <row r="173" spans="1:15" ht="15" thickBot="1" x14ac:dyDescent="0.4">
      <c r="A173" s="9">
        <v>45802</v>
      </c>
      <c r="B173" s="21" t="str">
        <f>TEXT(Table1[[#This Row],[Date]],"dddd")</f>
        <v>Sunday</v>
      </c>
      <c r="C173" s="21" t="str">
        <f>TEXT(Table1[[#This Row],[Date]],"mmmm")</f>
        <v>May</v>
      </c>
      <c r="D173" s="21" t="str">
        <f>"Q"&amp;ROUNDUP(MONTH(Table1[[#This Row],[Date]])/3,0)</f>
        <v>Q2</v>
      </c>
      <c r="E173" s="21" t="str">
        <f>TEXT(Table1[[#This Row],[Date]],"yyyy")</f>
        <v>2025</v>
      </c>
      <c r="F173" s="10">
        <v>273.60000000000002</v>
      </c>
      <c r="G173" s="10">
        <v>275.89999999999998</v>
      </c>
      <c r="H173" s="10">
        <v>270</v>
      </c>
      <c r="I173" s="10">
        <v>272.3</v>
      </c>
      <c r="J173" s="10">
        <v>262.8</v>
      </c>
      <c r="K173" s="14">
        <v>-8.0000000000000002E-3</v>
      </c>
      <c r="L173" s="12">
        <v>44338</v>
      </c>
      <c r="M173" s="18"/>
      <c r="N173" s="18"/>
      <c r="O173" s="18"/>
    </row>
    <row r="174" spans="1:15" ht="15" thickBot="1" x14ac:dyDescent="0.4">
      <c r="A174" s="5">
        <v>45801</v>
      </c>
      <c r="B174" s="20" t="str">
        <f>TEXT(Table1[[#This Row],[Date]],"dddd")</f>
        <v>Saturday</v>
      </c>
      <c r="C174" s="20" t="str">
        <f>TEXT(Table1[[#This Row],[Date]],"mmmm")</f>
        <v>May</v>
      </c>
      <c r="D174" s="20" t="str">
        <f>"Q"&amp;ROUNDUP(MONTH(Table1[[#This Row],[Date]])/3,0)</f>
        <v>Q2</v>
      </c>
      <c r="E174" s="20" t="str">
        <f>TEXT(Table1[[#This Row],[Date]],"yyyy")</f>
        <v>2025</v>
      </c>
      <c r="F174" s="6">
        <v>285</v>
      </c>
      <c r="G174" s="6">
        <v>285</v>
      </c>
      <c r="H174" s="6">
        <v>274.10000000000002</v>
      </c>
      <c r="I174" s="6">
        <v>274.5</v>
      </c>
      <c r="J174" s="6">
        <v>264.92</v>
      </c>
      <c r="K174" s="13">
        <v>-2.63E-2</v>
      </c>
      <c r="L174" s="8">
        <v>68647</v>
      </c>
      <c r="M174" s="17"/>
      <c r="N174" s="17"/>
      <c r="O174" s="17"/>
    </row>
    <row r="175" spans="1:15" ht="15" thickBot="1" x14ac:dyDescent="0.4">
      <c r="A175" s="9">
        <v>45799</v>
      </c>
      <c r="B175" s="21" t="str">
        <f>TEXT(Table1[[#This Row],[Date]],"dddd")</f>
        <v>Thursday</v>
      </c>
      <c r="C175" s="21" t="str">
        <f>TEXT(Table1[[#This Row],[Date]],"mmmm")</f>
        <v>May</v>
      </c>
      <c r="D175" s="21" t="str">
        <f>"Q"&amp;ROUNDUP(MONTH(Table1[[#This Row],[Date]])/3,0)</f>
        <v>Q2</v>
      </c>
      <c r="E175" s="21" t="str">
        <f>TEXT(Table1[[#This Row],[Date]],"yyyy")</f>
        <v>2025</v>
      </c>
      <c r="F175" s="10">
        <v>293.10000000000002</v>
      </c>
      <c r="G175" s="10">
        <v>293.10000000000002</v>
      </c>
      <c r="H175" s="10">
        <v>280.5</v>
      </c>
      <c r="I175" s="10">
        <v>281.89999999999998</v>
      </c>
      <c r="J175" s="10">
        <v>272.07</v>
      </c>
      <c r="K175" s="14">
        <v>-2.2499999999999999E-2</v>
      </c>
      <c r="L175" s="12">
        <v>91106</v>
      </c>
      <c r="M175" s="18"/>
      <c r="N175" s="18"/>
      <c r="O175" s="18"/>
    </row>
    <row r="176" spans="1:15" ht="15" thickBot="1" x14ac:dyDescent="0.4">
      <c r="A176" s="5">
        <v>45798</v>
      </c>
      <c r="B176" s="20" t="str">
        <f>TEXT(Table1[[#This Row],[Date]],"dddd")</f>
        <v>Wednesday</v>
      </c>
      <c r="C176" s="20" t="str">
        <f>TEXT(Table1[[#This Row],[Date]],"mmmm")</f>
        <v>May</v>
      </c>
      <c r="D176" s="20" t="str">
        <f>"Q"&amp;ROUNDUP(MONTH(Table1[[#This Row],[Date]])/3,0)</f>
        <v>Q2</v>
      </c>
      <c r="E176" s="20" t="str">
        <f>TEXT(Table1[[#This Row],[Date]],"yyyy")</f>
        <v>2025</v>
      </c>
      <c r="F176" s="6">
        <v>294.3</v>
      </c>
      <c r="G176" s="6">
        <v>295.8</v>
      </c>
      <c r="H176" s="6">
        <v>285.2</v>
      </c>
      <c r="I176" s="6">
        <v>288.39999999999998</v>
      </c>
      <c r="J176" s="6">
        <v>278.33999999999997</v>
      </c>
      <c r="K176" s="13">
        <v>-2.07E-2</v>
      </c>
      <c r="L176" s="8">
        <v>65573</v>
      </c>
      <c r="M176" s="17"/>
      <c r="N176" s="17"/>
      <c r="O176" s="17"/>
    </row>
    <row r="177" spans="1:15" ht="15" thickBot="1" x14ac:dyDescent="0.4">
      <c r="A177" s="9">
        <v>45797</v>
      </c>
      <c r="B177" s="21" t="str">
        <f>TEXT(Table1[[#This Row],[Date]],"dddd")</f>
        <v>Tuesday</v>
      </c>
      <c r="C177" s="21" t="str">
        <f>TEXT(Table1[[#This Row],[Date]],"mmmm")</f>
        <v>May</v>
      </c>
      <c r="D177" s="21" t="str">
        <f>"Q"&amp;ROUNDUP(MONTH(Table1[[#This Row],[Date]])/3,0)</f>
        <v>Q2</v>
      </c>
      <c r="E177" s="21" t="str">
        <f>TEXT(Table1[[#This Row],[Date]],"yyyy")</f>
        <v>2025</v>
      </c>
      <c r="F177" s="10">
        <v>294</v>
      </c>
      <c r="G177" s="10">
        <v>295</v>
      </c>
      <c r="H177" s="10">
        <v>293.3</v>
      </c>
      <c r="I177" s="10">
        <v>294.5</v>
      </c>
      <c r="J177" s="10">
        <v>284.23</v>
      </c>
      <c r="K177" s="11">
        <v>1.4E-3</v>
      </c>
      <c r="L177" s="12">
        <v>41506</v>
      </c>
      <c r="M177" s="18"/>
      <c r="N177" s="18"/>
      <c r="O177" s="18"/>
    </row>
    <row r="178" spans="1:15" ht="15" thickBot="1" x14ac:dyDescent="0.4">
      <c r="A178" s="5">
        <v>45796</v>
      </c>
      <c r="B178" s="20" t="str">
        <f>TEXT(Table1[[#This Row],[Date]],"dddd")</f>
        <v>Monday</v>
      </c>
      <c r="C178" s="20" t="str">
        <f>TEXT(Table1[[#This Row],[Date]],"mmmm")</f>
        <v>May</v>
      </c>
      <c r="D178" s="20" t="str">
        <f>"Q"&amp;ROUNDUP(MONTH(Table1[[#This Row],[Date]])/3,0)</f>
        <v>Q2</v>
      </c>
      <c r="E178" s="20" t="str">
        <f>TEXT(Table1[[#This Row],[Date]],"yyyy")</f>
        <v>2025</v>
      </c>
      <c r="F178" s="6">
        <v>297</v>
      </c>
      <c r="G178" s="6">
        <v>297</v>
      </c>
      <c r="H178" s="6">
        <v>293.8</v>
      </c>
      <c r="I178" s="6">
        <v>294.10000000000002</v>
      </c>
      <c r="J178" s="6">
        <v>283.83999999999997</v>
      </c>
      <c r="K178" s="13">
        <v>-7.1000000000000004E-3</v>
      </c>
      <c r="L178" s="8">
        <v>43662</v>
      </c>
      <c r="M178" s="17"/>
      <c r="N178" s="17"/>
      <c r="O178" s="17"/>
    </row>
    <row r="179" spans="1:15" ht="15" thickBot="1" x14ac:dyDescent="0.4">
      <c r="A179" s="9">
        <v>45795</v>
      </c>
      <c r="B179" s="21" t="str">
        <f>TEXT(Table1[[#This Row],[Date]],"dddd")</f>
        <v>Sunday</v>
      </c>
      <c r="C179" s="21" t="str">
        <f>TEXT(Table1[[#This Row],[Date]],"mmmm")</f>
        <v>May</v>
      </c>
      <c r="D179" s="21" t="str">
        <f>"Q"&amp;ROUNDUP(MONTH(Table1[[#This Row],[Date]])/3,0)</f>
        <v>Q2</v>
      </c>
      <c r="E179" s="21" t="str">
        <f>TEXT(Table1[[#This Row],[Date]],"yyyy")</f>
        <v>2025</v>
      </c>
      <c r="F179" s="10">
        <v>296</v>
      </c>
      <c r="G179" s="10">
        <v>297</v>
      </c>
      <c r="H179" s="10">
        <v>294</v>
      </c>
      <c r="I179" s="10">
        <v>296.2</v>
      </c>
      <c r="J179" s="10">
        <v>285.87</v>
      </c>
      <c r="K179" s="11">
        <v>4.4000000000000003E-3</v>
      </c>
      <c r="L179" s="12">
        <v>55084</v>
      </c>
      <c r="M179" s="18"/>
      <c r="N179" s="18"/>
      <c r="O179" s="18"/>
    </row>
    <row r="180" spans="1:15" ht="15" thickBot="1" x14ac:dyDescent="0.4">
      <c r="A180" s="5">
        <v>45792</v>
      </c>
      <c r="B180" s="20" t="str">
        <f>TEXT(Table1[[#This Row],[Date]],"dddd")</f>
        <v>Thursday</v>
      </c>
      <c r="C180" s="20" t="str">
        <f>TEXT(Table1[[#This Row],[Date]],"mmmm")</f>
        <v>May</v>
      </c>
      <c r="D180" s="20" t="str">
        <f>"Q"&amp;ROUNDUP(MONTH(Table1[[#This Row],[Date]])/3,0)</f>
        <v>Q2</v>
      </c>
      <c r="E180" s="20" t="str">
        <f>TEXT(Table1[[#This Row],[Date]],"yyyy")</f>
        <v>2025</v>
      </c>
      <c r="F180" s="6">
        <v>295.39999999999998</v>
      </c>
      <c r="G180" s="6">
        <v>297.5</v>
      </c>
      <c r="H180" s="6">
        <v>294</v>
      </c>
      <c r="I180" s="6">
        <v>294.89999999999998</v>
      </c>
      <c r="J180" s="6">
        <v>284.61</v>
      </c>
      <c r="K180" s="13">
        <v>-6.7000000000000002E-3</v>
      </c>
      <c r="L180" s="8">
        <v>49980</v>
      </c>
      <c r="M180" s="17"/>
      <c r="N180" s="17"/>
      <c r="O180" s="17"/>
    </row>
    <row r="181" spans="1:15" ht="15" thickBot="1" x14ac:dyDescent="0.4">
      <c r="A181" s="9">
        <v>45791</v>
      </c>
      <c r="B181" s="21" t="str">
        <f>TEXT(Table1[[#This Row],[Date]],"dddd")</f>
        <v>Wednesday</v>
      </c>
      <c r="C181" s="21" t="str">
        <f>TEXT(Table1[[#This Row],[Date]],"mmmm")</f>
        <v>May</v>
      </c>
      <c r="D181" s="21" t="str">
        <f>"Q"&amp;ROUNDUP(MONTH(Table1[[#This Row],[Date]])/3,0)</f>
        <v>Q2</v>
      </c>
      <c r="E181" s="21" t="str">
        <f>TEXT(Table1[[#This Row],[Date]],"yyyy")</f>
        <v>2025</v>
      </c>
      <c r="F181" s="10">
        <v>295.39999999999998</v>
      </c>
      <c r="G181" s="10">
        <v>298</v>
      </c>
      <c r="H181" s="10">
        <v>295.3</v>
      </c>
      <c r="I181" s="10">
        <v>296.89999999999998</v>
      </c>
      <c r="J181" s="10">
        <v>286.54000000000002</v>
      </c>
      <c r="K181" s="14">
        <v>-2.9999999999999997E-4</v>
      </c>
      <c r="L181" s="12">
        <v>79614</v>
      </c>
      <c r="M181" s="18"/>
      <c r="N181" s="18"/>
      <c r="O181" s="18"/>
    </row>
    <row r="182" spans="1:15" ht="15" thickBot="1" x14ac:dyDescent="0.4">
      <c r="A182" s="5">
        <v>45790</v>
      </c>
      <c r="B182" s="20" t="str">
        <f>TEXT(Table1[[#This Row],[Date]],"dddd")</f>
        <v>Tuesday</v>
      </c>
      <c r="C182" s="20" t="str">
        <f>TEXT(Table1[[#This Row],[Date]],"mmmm")</f>
        <v>May</v>
      </c>
      <c r="D182" s="20" t="str">
        <f>"Q"&amp;ROUNDUP(MONTH(Table1[[#This Row],[Date]])/3,0)</f>
        <v>Q2</v>
      </c>
      <c r="E182" s="20" t="str">
        <f>TEXT(Table1[[#This Row],[Date]],"yyyy")</f>
        <v>2025</v>
      </c>
      <c r="F182" s="6">
        <v>298.10000000000002</v>
      </c>
      <c r="G182" s="6">
        <v>299.39999999999998</v>
      </c>
      <c r="H182" s="6">
        <v>296.7</v>
      </c>
      <c r="I182" s="6">
        <v>297</v>
      </c>
      <c r="J182" s="6">
        <v>286.64</v>
      </c>
      <c r="K182" s="13">
        <v>-3.7000000000000002E-3</v>
      </c>
      <c r="L182" s="8">
        <v>112214</v>
      </c>
      <c r="M182" s="17"/>
      <c r="N182" s="17"/>
      <c r="O182" s="17"/>
    </row>
    <row r="183" spans="1:15" ht="15" thickBot="1" x14ac:dyDescent="0.4">
      <c r="A183" s="9">
        <v>45789</v>
      </c>
      <c r="B183" s="21" t="str">
        <f>TEXT(Table1[[#This Row],[Date]],"dddd")</f>
        <v>Monday</v>
      </c>
      <c r="C183" s="21" t="str">
        <f>TEXT(Table1[[#This Row],[Date]],"mmmm")</f>
        <v>May</v>
      </c>
      <c r="D183" s="21" t="str">
        <f>"Q"&amp;ROUNDUP(MONTH(Table1[[#This Row],[Date]])/3,0)</f>
        <v>Q2</v>
      </c>
      <c r="E183" s="21" t="str">
        <f>TEXT(Table1[[#This Row],[Date]],"yyyy")</f>
        <v>2025</v>
      </c>
      <c r="F183" s="10">
        <v>298.10000000000002</v>
      </c>
      <c r="G183" s="10">
        <v>300</v>
      </c>
      <c r="H183" s="10">
        <v>297.89999999999998</v>
      </c>
      <c r="I183" s="10">
        <v>298.10000000000002</v>
      </c>
      <c r="J183" s="10">
        <v>287.7</v>
      </c>
      <c r="K183" s="11">
        <v>2.9999999999999997E-4</v>
      </c>
      <c r="L183" s="12">
        <v>46566</v>
      </c>
      <c r="M183" s="18"/>
      <c r="N183" s="18"/>
      <c r="O183" s="18"/>
    </row>
    <row r="184" spans="1:15" ht="15" thickBot="1" x14ac:dyDescent="0.4">
      <c r="A184" s="5">
        <v>45785</v>
      </c>
      <c r="B184" s="20" t="str">
        <f>TEXT(Table1[[#This Row],[Date]],"dddd")</f>
        <v>Thursday</v>
      </c>
      <c r="C184" s="20" t="str">
        <f>TEXT(Table1[[#This Row],[Date]],"mmmm")</f>
        <v>May</v>
      </c>
      <c r="D184" s="20" t="str">
        <f>"Q"&amp;ROUNDUP(MONTH(Table1[[#This Row],[Date]])/3,0)</f>
        <v>Q2</v>
      </c>
      <c r="E184" s="20" t="str">
        <f>TEXT(Table1[[#This Row],[Date]],"yyyy")</f>
        <v>2025</v>
      </c>
      <c r="F184" s="6">
        <v>298</v>
      </c>
      <c r="G184" s="6">
        <v>300</v>
      </c>
      <c r="H184" s="6">
        <v>297.3</v>
      </c>
      <c r="I184" s="6">
        <v>298</v>
      </c>
      <c r="J184" s="6">
        <v>287.60000000000002</v>
      </c>
      <c r="K184" s="7">
        <v>2.3999999999999998E-3</v>
      </c>
      <c r="L184" s="8">
        <v>72989</v>
      </c>
      <c r="M184" s="17"/>
      <c r="N184" s="17"/>
      <c r="O184" s="17"/>
    </row>
    <row r="185" spans="1:15" ht="15" thickBot="1" x14ac:dyDescent="0.4">
      <c r="A185" s="9">
        <v>45784</v>
      </c>
      <c r="B185" s="21" t="str">
        <f>TEXT(Table1[[#This Row],[Date]],"dddd")</f>
        <v>Wednesday</v>
      </c>
      <c r="C185" s="21" t="str">
        <f>TEXT(Table1[[#This Row],[Date]],"mmmm")</f>
        <v>May</v>
      </c>
      <c r="D185" s="21" t="str">
        <f>"Q"&amp;ROUNDUP(MONTH(Table1[[#This Row],[Date]])/3,0)</f>
        <v>Q2</v>
      </c>
      <c r="E185" s="21" t="str">
        <f>TEXT(Table1[[#This Row],[Date]],"yyyy")</f>
        <v>2025</v>
      </c>
      <c r="F185" s="10">
        <v>299.39999999999998</v>
      </c>
      <c r="G185" s="10">
        <v>300</v>
      </c>
      <c r="H185" s="10">
        <v>296.10000000000002</v>
      </c>
      <c r="I185" s="10">
        <v>297.3</v>
      </c>
      <c r="J185" s="10">
        <v>286.93</v>
      </c>
      <c r="K185" s="14">
        <v>-1.5900000000000001E-2</v>
      </c>
      <c r="L185" s="12">
        <v>109761</v>
      </c>
      <c r="M185" s="18"/>
      <c r="N185" s="18"/>
      <c r="O185" s="18"/>
    </row>
    <row r="186" spans="1:15" ht="15" thickBot="1" x14ac:dyDescent="0.4">
      <c r="A186" s="5">
        <v>45783</v>
      </c>
      <c r="B186" s="20" t="str">
        <f>TEXT(Table1[[#This Row],[Date]],"dddd")</f>
        <v>Tuesday</v>
      </c>
      <c r="C186" s="20" t="str">
        <f>TEXT(Table1[[#This Row],[Date]],"mmmm")</f>
        <v>May</v>
      </c>
      <c r="D186" s="20" t="str">
        <f>"Q"&amp;ROUNDUP(MONTH(Table1[[#This Row],[Date]])/3,0)</f>
        <v>Q2</v>
      </c>
      <c r="E186" s="20" t="str">
        <f>TEXT(Table1[[#This Row],[Date]],"yyyy")</f>
        <v>2025</v>
      </c>
      <c r="F186" s="6">
        <v>304</v>
      </c>
      <c r="G186" s="6">
        <v>304.39999999999998</v>
      </c>
      <c r="H186" s="6">
        <v>301.10000000000002</v>
      </c>
      <c r="I186" s="6">
        <v>302.10000000000002</v>
      </c>
      <c r="J186" s="6">
        <v>291.56</v>
      </c>
      <c r="K186" s="13">
        <v>-6.6E-3</v>
      </c>
      <c r="L186" s="8">
        <v>73278</v>
      </c>
      <c r="M186" s="17"/>
      <c r="N186" s="17"/>
      <c r="O186" s="17"/>
    </row>
    <row r="187" spans="1:15" ht="15" thickBot="1" x14ac:dyDescent="0.4">
      <c r="A187" s="9">
        <v>45782</v>
      </c>
      <c r="B187" s="21" t="str">
        <f>TEXT(Table1[[#This Row],[Date]],"dddd")</f>
        <v>Monday</v>
      </c>
      <c r="C187" s="21" t="str">
        <f>TEXT(Table1[[#This Row],[Date]],"mmmm")</f>
        <v>May</v>
      </c>
      <c r="D187" s="21" t="str">
        <f>"Q"&amp;ROUNDUP(MONTH(Table1[[#This Row],[Date]])/3,0)</f>
        <v>Q2</v>
      </c>
      <c r="E187" s="21" t="str">
        <f>TEXT(Table1[[#This Row],[Date]],"yyyy")</f>
        <v>2025</v>
      </c>
      <c r="F187" s="10">
        <v>300.5</v>
      </c>
      <c r="G187" s="10">
        <v>304.8</v>
      </c>
      <c r="H187" s="10">
        <v>299.8</v>
      </c>
      <c r="I187" s="10">
        <v>304.10000000000002</v>
      </c>
      <c r="J187" s="10">
        <v>293.49</v>
      </c>
      <c r="K187" s="11">
        <v>1.2999999999999999E-2</v>
      </c>
      <c r="L187" s="12">
        <v>52063</v>
      </c>
      <c r="M187" s="18"/>
      <c r="N187" s="18"/>
      <c r="O187" s="18"/>
    </row>
    <row r="188" spans="1:15" ht="15" thickBot="1" x14ac:dyDescent="0.4">
      <c r="A188" s="5">
        <v>45781</v>
      </c>
      <c r="B188" s="20" t="str">
        <f>TEXT(Table1[[#This Row],[Date]],"dddd")</f>
        <v>Sunday</v>
      </c>
      <c r="C188" s="20" t="str">
        <f>TEXT(Table1[[#This Row],[Date]],"mmmm")</f>
        <v>May</v>
      </c>
      <c r="D188" s="20" t="str">
        <f>"Q"&amp;ROUNDUP(MONTH(Table1[[#This Row],[Date]])/3,0)</f>
        <v>Q2</v>
      </c>
      <c r="E188" s="20" t="str">
        <f>TEXT(Table1[[#This Row],[Date]],"yyyy")</f>
        <v>2025</v>
      </c>
      <c r="F188" s="6">
        <v>299.60000000000002</v>
      </c>
      <c r="G188" s="6">
        <v>301</v>
      </c>
      <c r="H188" s="6">
        <v>298.89999999999998</v>
      </c>
      <c r="I188" s="6">
        <v>300.2</v>
      </c>
      <c r="J188" s="6">
        <v>289.73</v>
      </c>
      <c r="K188" s="7">
        <v>2E-3</v>
      </c>
      <c r="L188" s="8">
        <v>59221</v>
      </c>
      <c r="M188" s="17"/>
      <c r="N188" s="17"/>
      <c r="O188" s="17"/>
    </row>
    <row r="189" spans="1:15" ht="15" thickBot="1" x14ac:dyDescent="0.4">
      <c r="A189" s="9">
        <v>45777</v>
      </c>
      <c r="B189" s="21" t="str">
        <f>TEXT(Table1[[#This Row],[Date]],"dddd")</f>
        <v>Wednesday</v>
      </c>
      <c r="C189" s="21" t="str">
        <f>TEXT(Table1[[#This Row],[Date]],"mmmm")</f>
        <v>April</v>
      </c>
      <c r="D189" s="21" t="str">
        <f>"Q"&amp;ROUNDUP(MONTH(Table1[[#This Row],[Date]])/3,0)</f>
        <v>Q2</v>
      </c>
      <c r="E189" s="21" t="str">
        <f>TEXT(Table1[[#This Row],[Date]],"yyyy")</f>
        <v>2025</v>
      </c>
      <c r="F189" s="10">
        <v>302.3</v>
      </c>
      <c r="G189" s="10">
        <v>302.3</v>
      </c>
      <c r="H189" s="10">
        <v>299</v>
      </c>
      <c r="I189" s="10">
        <v>299.60000000000002</v>
      </c>
      <c r="J189" s="10">
        <v>289.14999999999998</v>
      </c>
      <c r="K189" s="14">
        <v>-2E-3</v>
      </c>
      <c r="L189" s="12">
        <v>61631</v>
      </c>
      <c r="M189" s="18"/>
      <c r="N189" s="18"/>
      <c r="O189" s="18"/>
    </row>
    <row r="190" spans="1:15" ht="15" thickBot="1" x14ac:dyDescent="0.4">
      <c r="A190" s="5">
        <v>45776</v>
      </c>
      <c r="B190" s="20" t="str">
        <f>TEXT(Table1[[#This Row],[Date]],"dddd")</f>
        <v>Tuesday</v>
      </c>
      <c r="C190" s="20" t="str">
        <f>TEXT(Table1[[#This Row],[Date]],"mmmm")</f>
        <v>April</v>
      </c>
      <c r="D190" s="20" t="str">
        <f>"Q"&amp;ROUNDUP(MONTH(Table1[[#This Row],[Date]])/3,0)</f>
        <v>Q2</v>
      </c>
      <c r="E190" s="20" t="str">
        <f>TEXT(Table1[[#This Row],[Date]],"yyyy")</f>
        <v>2025</v>
      </c>
      <c r="F190" s="6">
        <v>302.89999999999998</v>
      </c>
      <c r="G190" s="6">
        <v>302.89999999999998</v>
      </c>
      <c r="H190" s="6">
        <v>299.2</v>
      </c>
      <c r="I190" s="6">
        <v>300.2</v>
      </c>
      <c r="J190" s="6">
        <v>289.73</v>
      </c>
      <c r="K190" s="13">
        <v>-7.6E-3</v>
      </c>
      <c r="L190" s="8">
        <v>143795</v>
      </c>
      <c r="M190" s="17"/>
      <c r="N190" s="17"/>
      <c r="O190" s="17"/>
    </row>
    <row r="191" spans="1:15" ht="15" thickBot="1" x14ac:dyDescent="0.4">
      <c r="A191" s="9">
        <v>45775</v>
      </c>
      <c r="B191" s="21" t="str">
        <f>TEXT(Table1[[#This Row],[Date]],"dddd")</f>
        <v>Monday</v>
      </c>
      <c r="C191" s="21" t="str">
        <f>TEXT(Table1[[#This Row],[Date]],"mmmm")</f>
        <v>April</v>
      </c>
      <c r="D191" s="21" t="str">
        <f>"Q"&amp;ROUNDUP(MONTH(Table1[[#This Row],[Date]])/3,0)</f>
        <v>Q2</v>
      </c>
      <c r="E191" s="21" t="str">
        <f>TEXT(Table1[[#This Row],[Date]],"yyyy")</f>
        <v>2025</v>
      </c>
      <c r="F191" s="10">
        <v>309.7</v>
      </c>
      <c r="G191" s="10">
        <v>309.7</v>
      </c>
      <c r="H191" s="10">
        <v>302</v>
      </c>
      <c r="I191" s="10">
        <v>302.5</v>
      </c>
      <c r="J191" s="10">
        <v>291.95</v>
      </c>
      <c r="K191" s="14">
        <v>-1.72E-2</v>
      </c>
      <c r="L191" s="12">
        <v>73333</v>
      </c>
      <c r="M191" s="18"/>
      <c r="N191" s="18"/>
      <c r="O191" s="18"/>
    </row>
    <row r="192" spans="1:15" ht="15" thickBot="1" x14ac:dyDescent="0.4">
      <c r="A192" s="5">
        <v>45774</v>
      </c>
      <c r="B192" s="20" t="str">
        <f>TEXT(Table1[[#This Row],[Date]],"dddd")</f>
        <v>Sunday</v>
      </c>
      <c r="C192" s="20" t="str">
        <f>TEXT(Table1[[#This Row],[Date]],"mmmm")</f>
        <v>April</v>
      </c>
      <c r="D192" s="20" t="str">
        <f>"Q"&amp;ROUNDUP(MONTH(Table1[[#This Row],[Date]])/3,0)</f>
        <v>Q2</v>
      </c>
      <c r="E192" s="20" t="str">
        <f>TEXT(Table1[[#This Row],[Date]],"yyyy")</f>
        <v>2025</v>
      </c>
      <c r="F192" s="6">
        <v>315</v>
      </c>
      <c r="G192" s="6">
        <v>317</v>
      </c>
      <c r="H192" s="6">
        <v>293.5</v>
      </c>
      <c r="I192" s="6">
        <v>307.8</v>
      </c>
      <c r="J192" s="6">
        <v>297.06</v>
      </c>
      <c r="K192" s="13">
        <v>-3.9600000000000003E-2</v>
      </c>
      <c r="L192" s="8">
        <v>290067</v>
      </c>
      <c r="M192" s="17"/>
      <c r="N192" s="17"/>
      <c r="O192" s="17"/>
    </row>
    <row r="193" spans="1:15" ht="15" thickBot="1" x14ac:dyDescent="0.4">
      <c r="A193" s="9">
        <v>45771</v>
      </c>
      <c r="B193" s="21" t="str">
        <f>TEXT(Table1[[#This Row],[Date]],"dddd")</f>
        <v>Thursday</v>
      </c>
      <c r="C193" s="21" t="str">
        <f>TEXT(Table1[[#This Row],[Date]],"mmmm")</f>
        <v>April</v>
      </c>
      <c r="D193" s="21" t="str">
        <f>"Q"&amp;ROUNDUP(MONTH(Table1[[#This Row],[Date]])/3,0)</f>
        <v>Q2</v>
      </c>
      <c r="E193" s="21" t="str">
        <f>TEXT(Table1[[#This Row],[Date]],"yyyy")</f>
        <v>2025</v>
      </c>
      <c r="F193" s="10">
        <v>321</v>
      </c>
      <c r="G193" s="10">
        <v>322</v>
      </c>
      <c r="H193" s="10">
        <v>320</v>
      </c>
      <c r="I193" s="10">
        <v>320.5</v>
      </c>
      <c r="J193" s="10">
        <v>309.32</v>
      </c>
      <c r="K193" s="14">
        <v>-2.5000000000000001E-3</v>
      </c>
      <c r="L193" s="12">
        <v>74360</v>
      </c>
      <c r="M193" s="18"/>
      <c r="N193" s="18"/>
      <c r="O193" s="18"/>
    </row>
    <row r="194" spans="1:15" ht="15" thickBot="1" x14ac:dyDescent="0.4">
      <c r="A194" s="5">
        <v>45770</v>
      </c>
      <c r="B194" s="20" t="str">
        <f>TEXT(Table1[[#This Row],[Date]],"dddd")</f>
        <v>Wednesday</v>
      </c>
      <c r="C194" s="20" t="str">
        <f>TEXT(Table1[[#This Row],[Date]],"mmmm")</f>
        <v>April</v>
      </c>
      <c r="D194" s="20" t="str">
        <f>"Q"&amp;ROUNDUP(MONTH(Table1[[#This Row],[Date]])/3,0)</f>
        <v>Q2</v>
      </c>
      <c r="E194" s="20" t="str">
        <f>TEXT(Table1[[#This Row],[Date]],"yyyy")</f>
        <v>2025</v>
      </c>
      <c r="F194" s="6">
        <v>319.60000000000002</v>
      </c>
      <c r="G194" s="6">
        <v>321.8</v>
      </c>
      <c r="H194" s="6">
        <v>319.60000000000002</v>
      </c>
      <c r="I194" s="6">
        <v>321.3</v>
      </c>
      <c r="J194" s="6">
        <v>310.08999999999997</v>
      </c>
      <c r="K194" s="7">
        <v>5.0000000000000001E-3</v>
      </c>
      <c r="L194" s="8">
        <v>40221</v>
      </c>
      <c r="M194" s="17"/>
      <c r="N194" s="17"/>
      <c r="O194" s="17"/>
    </row>
    <row r="195" spans="1:15" ht="15" thickBot="1" x14ac:dyDescent="0.4">
      <c r="A195" s="9">
        <v>45769</v>
      </c>
      <c r="B195" s="21" t="str">
        <f>TEXT(Table1[[#This Row],[Date]],"dddd")</f>
        <v>Tuesday</v>
      </c>
      <c r="C195" s="21" t="str">
        <f>TEXT(Table1[[#This Row],[Date]],"mmmm")</f>
        <v>April</v>
      </c>
      <c r="D195" s="21" t="str">
        <f>"Q"&amp;ROUNDUP(MONTH(Table1[[#This Row],[Date]])/3,0)</f>
        <v>Q2</v>
      </c>
      <c r="E195" s="21" t="str">
        <f>TEXT(Table1[[#This Row],[Date]],"yyyy")</f>
        <v>2025</v>
      </c>
      <c r="F195" s="10">
        <v>322.89999999999998</v>
      </c>
      <c r="G195" s="10">
        <v>322.89999999999998</v>
      </c>
      <c r="H195" s="10">
        <v>319</v>
      </c>
      <c r="I195" s="10">
        <v>319.7</v>
      </c>
      <c r="J195" s="10">
        <v>308.55</v>
      </c>
      <c r="K195" s="11">
        <v>5.9999999999999995E-4</v>
      </c>
      <c r="L195" s="12">
        <v>42193</v>
      </c>
      <c r="M195" s="18"/>
      <c r="N195" s="18"/>
      <c r="O195" s="18"/>
    </row>
    <row r="196" spans="1:15" ht="15" thickBot="1" x14ac:dyDescent="0.4">
      <c r="A196" s="5">
        <v>45768</v>
      </c>
      <c r="B196" s="20" t="str">
        <f>TEXT(Table1[[#This Row],[Date]],"dddd")</f>
        <v>Monday</v>
      </c>
      <c r="C196" s="20" t="str">
        <f>TEXT(Table1[[#This Row],[Date]],"mmmm")</f>
        <v>April</v>
      </c>
      <c r="D196" s="20" t="str">
        <f>"Q"&amp;ROUNDUP(MONTH(Table1[[#This Row],[Date]])/3,0)</f>
        <v>Q2</v>
      </c>
      <c r="E196" s="20" t="str">
        <f>TEXT(Table1[[#This Row],[Date]],"yyyy")</f>
        <v>2025</v>
      </c>
      <c r="F196" s="6">
        <v>321.10000000000002</v>
      </c>
      <c r="G196" s="6">
        <v>321.10000000000002</v>
      </c>
      <c r="H196" s="6">
        <v>319.2</v>
      </c>
      <c r="I196" s="6">
        <v>319.5</v>
      </c>
      <c r="J196" s="6">
        <v>308.35000000000002</v>
      </c>
      <c r="K196" s="13">
        <v>-5.0000000000000001E-3</v>
      </c>
      <c r="L196" s="8">
        <v>88574</v>
      </c>
      <c r="M196" s="17"/>
      <c r="N196" s="17"/>
      <c r="O196" s="17"/>
    </row>
    <row r="197" spans="1:15" ht="15" thickBot="1" x14ac:dyDescent="0.4">
      <c r="A197" s="9">
        <v>45767</v>
      </c>
      <c r="B197" s="21" t="str">
        <f>TEXT(Table1[[#This Row],[Date]],"dddd")</f>
        <v>Sunday</v>
      </c>
      <c r="C197" s="21" t="str">
        <f>TEXT(Table1[[#This Row],[Date]],"mmmm")</f>
        <v>April</v>
      </c>
      <c r="D197" s="21" t="str">
        <f>"Q"&amp;ROUNDUP(MONTH(Table1[[#This Row],[Date]])/3,0)</f>
        <v>Q2</v>
      </c>
      <c r="E197" s="21" t="str">
        <f>TEXT(Table1[[#This Row],[Date]],"yyyy")</f>
        <v>2025</v>
      </c>
      <c r="F197" s="10">
        <v>319.39999999999998</v>
      </c>
      <c r="G197" s="10">
        <v>321.8</v>
      </c>
      <c r="H197" s="10">
        <v>319</v>
      </c>
      <c r="I197" s="10">
        <v>321.10000000000002</v>
      </c>
      <c r="J197" s="10">
        <v>309.89999999999998</v>
      </c>
      <c r="K197" s="11">
        <v>3.8E-3</v>
      </c>
      <c r="L197" s="12">
        <v>44067</v>
      </c>
      <c r="M197" s="18"/>
      <c r="N197" s="18"/>
      <c r="O197" s="18"/>
    </row>
    <row r="198" spans="1:15" ht="15" thickBot="1" x14ac:dyDescent="0.4">
      <c r="A198" s="5">
        <v>45764</v>
      </c>
      <c r="B198" s="20" t="str">
        <f>TEXT(Table1[[#This Row],[Date]],"dddd")</f>
        <v>Thursday</v>
      </c>
      <c r="C198" s="20" t="str">
        <f>TEXT(Table1[[#This Row],[Date]],"mmmm")</f>
        <v>April</v>
      </c>
      <c r="D198" s="20" t="str">
        <f>"Q"&amp;ROUNDUP(MONTH(Table1[[#This Row],[Date]])/3,0)</f>
        <v>Q2</v>
      </c>
      <c r="E198" s="20" t="str">
        <f>TEXT(Table1[[#This Row],[Date]],"yyyy")</f>
        <v>2025</v>
      </c>
      <c r="F198" s="6">
        <v>320.2</v>
      </c>
      <c r="G198" s="6">
        <v>320.89999999999998</v>
      </c>
      <c r="H198" s="6">
        <v>319.60000000000002</v>
      </c>
      <c r="I198" s="6">
        <v>319.89999999999998</v>
      </c>
      <c r="J198" s="6">
        <v>308.74</v>
      </c>
      <c r="K198" s="13">
        <v>-3.0999999999999999E-3</v>
      </c>
      <c r="L198" s="8">
        <v>48187</v>
      </c>
      <c r="M198" s="17"/>
      <c r="N198" s="17"/>
      <c r="O198" s="17"/>
    </row>
    <row r="199" spans="1:15" ht="15" thickBot="1" x14ac:dyDescent="0.4">
      <c r="A199" s="9">
        <v>45763</v>
      </c>
      <c r="B199" s="21" t="str">
        <f>TEXT(Table1[[#This Row],[Date]],"dddd")</f>
        <v>Wednesday</v>
      </c>
      <c r="C199" s="21" t="str">
        <f>TEXT(Table1[[#This Row],[Date]],"mmmm")</f>
        <v>April</v>
      </c>
      <c r="D199" s="21" t="str">
        <f>"Q"&amp;ROUNDUP(MONTH(Table1[[#This Row],[Date]])/3,0)</f>
        <v>Q2</v>
      </c>
      <c r="E199" s="21" t="str">
        <f>TEXT(Table1[[#This Row],[Date]],"yyyy")</f>
        <v>2025</v>
      </c>
      <c r="F199" s="10">
        <v>321</v>
      </c>
      <c r="G199" s="10">
        <v>321.60000000000002</v>
      </c>
      <c r="H199" s="10">
        <v>320</v>
      </c>
      <c r="I199" s="10">
        <v>320.89999999999998</v>
      </c>
      <c r="J199" s="10">
        <v>309.7</v>
      </c>
      <c r="K199" s="11">
        <v>2.9999999999999997E-4</v>
      </c>
      <c r="L199" s="12">
        <v>87697</v>
      </c>
      <c r="M199" s="18"/>
      <c r="N199" s="18"/>
      <c r="O199" s="18"/>
    </row>
    <row r="200" spans="1:15" ht="15" thickBot="1" x14ac:dyDescent="0.4">
      <c r="A200" s="5">
        <v>45762</v>
      </c>
      <c r="B200" s="20" t="str">
        <f>TEXT(Table1[[#This Row],[Date]],"dddd")</f>
        <v>Tuesday</v>
      </c>
      <c r="C200" s="20" t="str">
        <f>TEXT(Table1[[#This Row],[Date]],"mmmm")</f>
        <v>April</v>
      </c>
      <c r="D200" s="20" t="str">
        <f>"Q"&amp;ROUNDUP(MONTH(Table1[[#This Row],[Date]])/3,0)</f>
        <v>Q2</v>
      </c>
      <c r="E200" s="20" t="str">
        <f>TEXT(Table1[[#This Row],[Date]],"yyyy")</f>
        <v>2025</v>
      </c>
      <c r="F200" s="6">
        <v>320</v>
      </c>
      <c r="G200" s="6">
        <v>321.10000000000002</v>
      </c>
      <c r="H200" s="6">
        <v>319.60000000000002</v>
      </c>
      <c r="I200" s="6">
        <v>320.8</v>
      </c>
      <c r="J200" s="6">
        <v>309.61</v>
      </c>
      <c r="K200" s="7">
        <v>2.2000000000000001E-3</v>
      </c>
      <c r="L200" s="8">
        <v>80670</v>
      </c>
      <c r="M200" s="17"/>
      <c r="N200" s="17"/>
      <c r="O200" s="17"/>
    </row>
    <row r="201" spans="1:15" ht="15" thickBot="1" x14ac:dyDescent="0.4">
      <c r="A201" s="9">
        <v>45760</v>
      </c>
      <c r="B201" s="21" t="str">
        <f>TEXT(Table1[[#This Row],[Date]],"dddd")</f>
        <v>Sunday</v>
      </c>
      <c r="C201" s="21" t="str">
        <f>TEXT(Table1[[#This Row],[Date]],"mmmm")</f>
        <v>April</v>
      </c>
      <c r="D201" s="21" t="str">
        <f>"Q"&amp;ROUNDUP(MONTH(Table1[[#This Row],[Date]])/3,0)</f>
        <v>Q2</v>
      </c>
      <c r="E201" s="21" t="str">
        <f>TEXT(Table1[[#This Row],[Date]],"yyyy")</f>
        <v>2025</v>
      </c>
      <c r="F201" s="10">
        <v>320.2</v>
      </c>
      <c r="G201" s="10">
        <v>321.89999999999998</v>
      </c>
      <c r="H201" s="10">
        <v>320</v>
      </c>
      <c r="I201" s="10">
        <v>320.10000000000002</v>
      </c>
      <c r="J201" s="10">
        <v>308.93</v>
      </c>
      <c r="K201" s="14">
        <v>-1.6000000000000001E-3</v>
      </c>
      <c r="L201" s="12">
        <v>61533</v>
      </c>
      <c r="M201" s="18"/>
      <c r="N201" s="18"/>
      <c r="O201" s="18"/>
    </row>
    <row r="202" spans="1:15" ht="15" thickBot="1" x14ac:dyDescent="0.4">
      <c r="A202" s="5">
        <v>45757</v>
      </c>
      <c r="B202" s="20" t="str">
        <f>TEXT(Table1[[#This Row],[Date]],"dddd")</f>
        <v>Thursday</v>
      </c>
      <c r="C202" s="20" t="str">
        <f>TEXT(Table1[[#This Row],[Date]],"mmmm")</f>
        <v>April</v>
      </c>
      <c r="D202" s="20" t="str">
        <f>"Q"&amp;ROUNDUP(MONTH(Table1[[#This Row],[Date]])/3,0)</f>
        <v>Q2</v>
      </c>
      <c r="E202" s="20" t="str">
        <f>TEXT(Table1[[#This Row],[Date]],"yyyy")</f>
        <v>2025</v>
      </c>
      <c r="F202" s="6">
        <v>322</v>
      </c>
      <c r="G202" s="6">
        <v>322</v>
      </c>
      <c r="H202" s="6">
        <v>320.2</v>
      </c>
      <c r="I202" s="6">
        <v>320.60000000000002</v>
      </c>
      <c r="J202" s="6">
        <v>309.42</v>
      </c>
      <c r="K202" s="13">
        <v>-5.9999999999999995E-4</v>
      </c>
      <c r="L202" s="8">
        <v>133731</v>
      </c>
      <c r="M202" s="17"/>
      <c r="N202" s="17"/>
      <c r="O202" s="17"/>
    </row>
    <row r="203" spans="1:15" ht="15" thickBot="1" x14ac:dyDescent="0.4">
      <c r="A203" s="9">
        <v>45756</v>
      </c>
      <c r="B203" s="21" t="str">
        <f>TEXT(Table1[[#This Row],[Date]],"dddd")</f>
        <v>Wednesday</v>
      </c>
      <c r="C203" s="21" t="str">
        <f>TEXT(Table1[[#This Row],[Date]],"mmmm")</f>
        <v>April</v>
      </c>
      <c r="D203" s="21" t="str">
        <f>"Q"&amp;ROUNDUP(MONTH(Table1[[#This Row],[Date]])/3,0)</f>
        <v>Q2</v>
      </c>
      <c r="E203" s="21" t="str">
        <f>TEXT(Table1[[#This Row],[Date]],"yyyy")</f>
        <v>2025</v>
      </c>
      <c r="F203" s="10">
        <v>321.7</v>
      </c>
      <c r="G203" s="10">
        <v>322.3</v>
      </c>
      <c r="H203" s="10">
        <v>320.10000000000002</v>
      </c>
      <c r="I203" s="10">
        <v>320.8</v>
      </c>
      <c r="J203" s="10">
        <v>309.61</v>
      </c>
      <c r="K203" s="11">
        <v>8.9999999999999998E-4</v>
      </c>
      <c r="L203" s="12">
        <v>66752</v>
      </c>
      <c r="M203" s="18"/>
      <c r="N203" s="18"/>
      <c r="O203" s="18"/>
    </row>
    <row r="204" spans="1:15" ht="15" thickBot="1" x14ac:dyDescent="0.4">
      <c r="A204" s="5">
        <v>45755</v>
      </c>
      <c r="B204" s="20" t="str">
        <f>TEXT(Table1[[#This Row],[Date]],"dddd")</f>
        <v>Tuesday</v>
      </c>
      <c r="C204" s="20" t="str">
        <f>TEXT(Table1[[#This Row],[Date]],"mmmm")</f>
        <v>April</v>
      </c>
      <c r="D204" s="20" t="str">
        <f>"Q"&amp;ROUNDUP(MONTH(Table1[[#This Row],[Date]])/3,0)</f>
        <v>Q2</v>
      </c>
      <c r="E204" s="20" t="str">
        <f>TEXT(Table1[[#This Row],[Date]],"yyyy")</f>
        <v>2025</v>
      </c>
      <c r="F204" s="6">
        <v>322.5</v>
      </c>
      <c r="G204" s="6">
        <v>324.8</v>
      </c>
      <c r="H204" s="6">
        <v>320.10000000000002</v>
      </c>
      <c r="I204" s="6">
        <v>320.5</v>
      </c>
      <c r="J204" s="6">
        <v>309.32</v>
      </c>
      <c r="K204" s="13">
        <v>-6.1999999999999998E-3</v>
      </c>
      <c r="L204" s="8">
        <v>74528</v>
      </c>
      <c r="M204" s="17"/>
      <c r="N204" s="17"/>
      <c r="O204" s="17"/>
    </row>
    <row r="205" spans="1:15" ht="15" thickBot="1" x14ac:dyDescent="0.4">
      <c r="A205" s="9">
        <v>45754</v>
      </c>
      <c r="B205" s="21" t="str">
        <f>TEXT(Table1[[#This Row],[Date]],"dddd")</f>
        <v>Monday</v>
      </c>
      <c r="C205" s="21" t="str">
        <f>TEXT(Table1[[#This Row],[Date]],"mmmm")</f>
        <v>April</v>
      </c>
      <c r="D205" s="21" t="str">
        <f>"Q"&amp;ROUNDUP(MONTH(Table1[[#This Row],[Date]])/3,0)</f>
        <v>Q2</v>
      </c>
      <c r="E205" s="21" t="str">
        <f>TEXT(Table1[[#This Row],[Date]],"yyyy")</f>
        <v>2025</v>
      </c>
      <c r="F205" s="10">
        <v>320.10000000000002</v>
      </c>
      <c r="G205" s="10">
        <v>325.3</v>
      </c>
      <c r="H205" s="10">
        <v>320.10000000000002</v>
      </c>
      <c r="I205" s="10">
        <v>322.5</v>
      </c>
      <c r="J205" s="10">
        <v>311.25</v>
      </c>
      <c r="K205" s="11">
        <v>5.3E-3</v>
      </c>
      <c r="L205" s="12">
        <v>85981</v>
      </c>
      <c r="M205" s="18"/>
      <c r="N205" s="18"/>
      <c r="O205" s="18"/>
    </row>
    <row r="206" spans="1:15" ht="15" thickBot="1" x14ac:dyDescent="0.4">
      <c r="A206" s="5">
        <v>45753</v>
      </c>
      <c r="B206" s="20" t="str">
        <f>TEXT(Table1[[#This Row],[Date]],"dddd")</f>
        <v>Sunday</v>
      </c>
      <c r="C206" s="20" t="str">
        <f>TEXT(Table1[[#This Row],[Date]],"mmmm")</f>
        <v>April</v>
      </c>
      <c r="D206" s="20" t="str">
        <f>"Q"&amp;ROUNDUP(MONTH(Table1[[#This Row],[Date]])/3,0)</f>
        <v>Q2</v>
      </c>
      <c r="E206" s="20" t="str">
        <f>TEXT(Table1[[#This Row],[Date]],"yyyy")</f>
        <v>2025</v>
      </c>
      <c r="F206" s="6">
        <v>322</v>
      </c>
      <c r="G206" s="6">
        <v>322</v>
      </c>
      <c r="H206" s="6">
        <v>317.2</v>
      </c>
      <c r="I206" s="6">
        <v>320.8</v>
      </c>
      <c r="J206" s="6">
        <v>309.61</v>
      </c>
      <c r="K206" s="13">
        <v>-3.3999999999999998E-3</v>
      </c>
      <c r="L206" s="8">
        <v>59102</v>
      </c>
      <c r="M206" s="17"/>
      <c r="N206" s="17"/>
      <c r="O206" s="17"/>
    </row>
    <row r="207" spans="1:15" ht="15" thickBot="1" x14ac:dyDescent="0.4">
      <c r="A207" s="9">
        <v>45743</v>
      </c>
      <c r="B207" s="21" t="str">
        <f>TEXT(Table1[[#This Row],[Date]],"dddd")</f>
        <v>Thursday</v>
      </c>
      <c r="C207" s="21" t="str">
        <f>TEXT(Table1[[#This Row],[Date]],"mmmm")</f>
        <v>March</v>
      </c>
      <c r="D207" s="21" t="str">
        <f>"Q"&amp;ROUNDUP(MONTH(Table1[[#This Row],[Date]])/3,0)</f>
        <v>Q1</v>
      </c>
      <c r="E207" s="21" t="str">
        <f>TEXT(Table1[[#This Row],[Date]],"yyyy")</f>
        <v>2025</v>
      </c>
      <c r="F207" s="10">
        <v>320.5</v>
      </c>
      <c r="G207" s="10">
        <v>324.7</v>
      </c>
      <c r="H207" s="10">
        <v>319.5</v>
      </c>
      <c r="I207" s="10">
        <v>321.89999999999998</v>
      </c>
      <c r="J207" s="10">
        <v>310.67</v>
      </c>
      <c r="K207" s="11">
        <v>7.4999999999999997E-3</v>
      </c>
      <c r="L207" s="12">
        <v>30172</v>
      </c>
      <c r="M207" s="18"/>
      <c r="N207" s="18"/>
      <c r="O207" s="18"/>
    </row>
    <row r="208" spans="1:15" ht="15" thickBot="1" x14ac:dyDescent="0.4">
      <c r="A208" s="5">
        <v>45741</v>
      </c>
      <c r="B208" s="20" t="str">
        <f>TEXT(Table1[[#This Row],[Date]],"dddd")</f>
        <v>Tuesday</v>
      </c>
      <c r="C208" s="20" t="str">
        <f>TEXT(Table1[[#This Row],[Date]],"mmmm")</f>
        <v>March</v>
      </c>
      <c r="D208" s="20" t="str">
        <f>"Q"&amp;ROUNDUP(MONTH(Table1[[#This Row],[Date]])/3,0)</f>
        <v>Q1</v>
      </c>
      <c r="E208" s="20" t="str">
        <f>TEXT(Table1[[#This Row],[Date]],"yyyy")</f>
        <v>2025</v>
      </c>
      <c r="F208" s="6">
        <v>321.2</v>
      </c>
      <c r="G208" s="6">
        <v>321.2</v>
      </c>
      <c r="H208" s="6">
        <v>318.8</v>
      </c>
      <c r="I208" s="6">
        <v>319.5</v>
      </c>
      <c r="J208" s="6">
        <v>308.35000000000002</v>
      </c>
      <c r="K208" s="7">
        <v>3.5000000000000001E-3</v>
      </c>
      <c r="L208" s="8">
        <v>51708</v>
      </c>
      <c r="M208" s="17"/>
      <c r="N208" s="17"/>
      <c r="O208" s="17"/>
    </row>
    <row r="209" spans="1:15" ht="15" thickBot="1" x14ac:dyDescent="0.4">
      <c r="A209" s="9">
        <v>45740</v>
      </c>
      <c r="B209" s="21" t="str">
        <f>TEXT(Table1[[#This Row],[Date]],"dddd")</f>
        <v>Monday</v>
      </c>
      <c r="C209" s="21" t="str">
        <f>TEXT(Table1[[#This Row],[Date]],"mmmm")</f>
        <v>March</v>
      </c>
      <c r="D209" s="21" t="str">
        <f>"Q"&amp;ROUNDUP(MONTH(Table1[[#This Row],[Date]])/3,0)</f>
        <v>Q1</v>
      </c>
      <c r="E209" s="21" t="str">
        <f>TEXT(Table1[[#This Row],[Date]],"yyyy")</f>
        <v>2025</v>
      </c>
      <c r="F209" s="10">
        <v>319.89999999999998</v>
      </c>
      <c r="G209" s="10">
        <v>321.8</v>
      </c>
      <c r="H209" s="10">
        <v>318</v>
      </c>
      <c r="I209" s="10">
        <v>318.39999999999998</v>
      </c>
      <c r="J209" s="10">
        <v>307.29000000000002</v>
      </c>
      <c r="K209" s="14">
        <v>-4.7000000000000002E-3</v>
      </c>
      <c r="L209" s="12">
        <v>69437</v>
      </c>
      <c r="M209" s="18"/>
      <c r="N209" s="18"/>
      <c r="O209" s="18"/>
    </row>
    <row r="210" spans="1:15" ht="15" thickBot="1" x14ac:dyDescent="0.4">
      <c r="A210" s="5">
        <v>45739</v>
      </c>
      <c r="B210" s="20" t="str">
        <f>TEXT(Table1[[#This Row],[Date]],"dddd")</f>
        <v>Sunday</v>
      </c>
      <c r="C210" s="20" t="str">
        <f>TEXT(Table1[[#This Row],[Date]],"mmmm")</f>
        <v>March</v>
      </c>
      <c r="D210" s="20" t="str">
        <f>"Q"&amp;ROUNDUP(MONTH(Table1[[#This Row],[Date]])/3,0)</f>
        <v>Q1</v>
      </c>
      <c r="E210" s="20" t="str">
        <f>TEXT(Table1[[#This Row],[Date]],"yyyy")</f>
        <v>2025</v>
      </c>
      <c r="F210" s="6">
        <v>319.60000000000002</v>
      </c>
      <c r="G210" s="6">
        <v>321.8</v>
      </c>
      <c r="H210" s="6">
        <v>318.39999999999998</v>
      </c>
      <c r="I210" s="6">
        <v>319.89999999999998</v>
      </c>
      <c r="J210" s="6">
        <v>308.74</v>
      </c>
      <c r="K210" s="7">
        <v>8.9999999999999998E-4</v>
      </c>
      <c r="L210" s="8">
        <v>80213</v>
      </c>
      <c r="M210" s="17"/>
      <c r="N210" s="17"/>
      <c r="O210" s="17"/>
    </row>
    <row r="211" spans="1:15" ht="15" thickBot="1" x14ac:dyDescent="0.4">
      <c r="A211" s="9">
        <v>45736</v>
      </c>
      <c r="B211" s="21" t="str">
        <f>TEXT(Table1[[#This Row],[Date]],"dddd")</f>
        <v>Thursday</v>
      </c>
      <c r="C211" s="21" t="str">
        <f>TEXT(Table1[[#This Row],[Date]],"mmmm")</f>
        <v>March</v>
      </c>
      <c r="D211" s="21" t="str">
        <f>"Q"&amp;ROUNDUP(MONTH(Table1[[#This Row],[Date]])/3,0)</f>
        <v>Q1</v>
      </c>
      <c r="E211" s="21" t="str">
        <f>TEXT(Table1[[#This Row],[Date]],"yyyy")</f>
        <v>2025</v>
      </c>
      <c r="F211" s="10">
        <v>319.60000000000002</v>
      </c>
      <c r="G211" s="10">
        <v>320.8</v>
      </c>
      <c r="H211" s="10">
        <v>319.3</v>
      </c>
      <c r="I211" s="10">
        <v>319.60000000000002</v>
      </c>
      <c r="J211" s="10">
        <v>308.45</v>
      </c>
      <c r="K211" s="14">
        <v>-2.9999999999999997E-4</v>
      </c>
      <c r="L211" s="12">
        <v>110865</v>
      </c>
      <c r="M211" s="18"/>
      <c r="N211" s="18"/>
      <c r="O211" s="18"/>
    </row>
    <row r="212" spans="1:15" ht="15" thickBot="1" x14ac:dyDescent="0.4">
      <c r="A212" s="5">
        <v>45735</v>
      </c>
      <c r="B212" s="20" t="str">
        <f>TEXT(Table1[[#This Row],[Date]],"dddd")</f>
        <v>Wednesday</v>
      </c>
      <c r="C212" s="20" t="str">
        <f>TEXT(Table1[[#This Row],[Date]],"mmmm")</f>
        <v>March</v>
      </c>
      <c r="D212" s="20" t="str">
        <f>"Q"&amp;ROUNDUP(MONTH(Table1[[#This Row],[Date]])/3,0)</f>
        <v>Q1</v>
      </c>
      <c r="E212" s="20" t="str">
        <f>TEXT(Table1[[#This Row],[Date]],"yyyy")</f>
        <v>2025</v>
      </c>
      <c r="F212" s="6">
        <v>324.39999999999998</v>
      </c>
      <c r="G212" s="6">
        <v>324.39999999999998</v>
      </c>
      <c r="H212" s="6">
        <v>319.39999999999998</v>
      </c>
      <c r="I212" s="6">
        <v>319.7</v>
      </c>
      <c r="J212" s="6">
        <v>308.55</v>
      </c>
      <c r="K212" s="13">
        <v>-4.7000000000000002E-3</v>
      </c>
      <c r="L212" s="8">
        <v>88582</v>
      </c>
      <c r="M212" s="17"/>
      <c r="N212" s="17"/>
      <c r="O212" s="17"/>
    </row>
    <row r="213" spans="1:15" ht="15" thickBot="1" x14ac:dyDescent="0.4">
      <c r="A213" s="9">
        <v>45734</v>
      </c>
      <c r="B213" s="21" t="str">
        <f>TEXT(Table1[[#This Row],[Date]],"dddd")</f>
        <v>Tuesday</v>
      </c>
      <c r="C213" s="21" t="str">
        <f>TEXT(Table1[[#This Row],[Date]],"mmmm")</f>
        <v>March</v>
      </c>
      <c r="D213" s="21" t="str">
        <f>"Q"&amp;ROUNDUP(MONTH(Table1[[#This Row],[Date]])/3,0)</f>
        <v>Q1</v>
      </c>
      <c r="E213" s="21" t="str">
        <f>TEXT(Table1[[#This Row],[Date]],"yyyy")</f>
        <v>2025</v>
      </c>
      <c r="F213" s="10">
        <v>322.3</v>
      </c>
      <c r="G213" s="10">
        <v>324.39999999999998</v>
      </c>
      <c r="H213" s="10">
        <v>320.60000000000002</v>
      </c>
      <c r="I213" s="10">
        <v>321.2</v>
      </c>
      <c r="J213" s="10">
        <v>309.99</v>
      </c>
      <c r="K213" s="14">
        <v>-4.3E-3</v>
      </c>
      <c r="L213" s="12">
        <v>120043</v>
      </c>
      <c r="M213" s="18"/>
      <c r="N213" s="18"/>
      <c r="O213" s="18"/>
    </row>
    <row r="214" spans="1:15" ht="15" thickBot="1" x14ac:dyDescent="0.4">
      <c r="A214" s="5">
        <v>45733</v>
      </c>
      <c r="B214" s="20" t="str">
        <f>TEXT(Table1[[#This Row],[Date]],"dddd")</f>
        <v>Monday</v>
      </c>
      <c r="C214" s="20" t="str">
        <f>TEXT(Table1[[#This Row],[Date]],"mmmm")</f>
        <v>March</v>
      </c>
      <c r="D214" s="20" t="str">
        <f>"Q"&amp;ROUNDUP(MONTH(Table1[[#This Row],[Date]])/3,0)</f>
        <v>Q1</v>
      </c>
      <c r="E214" s="20" t="str">
        <f>TEXT(Table1[[#This Row],[Date]],"yyyy")</f>
        <v>2025</v>
      </c>
      <c r="F214" s="6">
        <v>324.89999999999998</v>
      </c>
      <c r="G214" s="6">
        <v>324.89999999999998</v>
      </c>
      <c r="H214" s="6">
        <v>322.10000000000002</v>
      </c>
      <c r="I214" s="6">
        <v>322.60000000000002</v>
      </c>
      <c r="J214" s="6">
        <v>311.35000000000002</v>
      </c>
      <c r="K214" s="13">
        <v>-6.7999999999999996E-3</v>
      </c>
      <c r="L214" s="8">
        <v>190531</v>
      </c>
      <c r="M214" s="17"/>
      <c r="N214" s="17"/>
      <c r="O214" s="17"/>
    </row>
    <row r="215" spans="1:15" ht="15" thickBot="1" x14ac:dyDescent="0.4">
      <c r="A215" s="9">
        <v>45732</v>
      </c>
      <c r="B215" s="21" t="str">
        <f>TEXT(Table1[[#This Row],[Date]],"dddd")</f>
        <v>Sunday</v>
      </c>
      <c r="C215" s="21" t="str">
        <f>TEXT(Table1[[#This Row],[Date]],"mmmm")</f>
        <v>March</v>
      </c>
      <c r="D215" s="21" t="str">
        <f>"Q"&amp;ROUNDUP(MONTH(Table1[[#This Row],[Date]])/3,0)</f>
        <v>Q1</v>
      </c>
      <c r="E215" s="21" t="str">
        <f>TEXT(Table1[[#This Row],[Date]],"yyyy")</f>
        <v>2025</v>
      </c>
      <c r="F215" s="10">
        <v>325.39999999999998</v>
      </c>
      <c r="G215" s="10">
        <v>325.39999999999998</v>
      </c>
      <c r="H215" s="10">
        <v>324.10000000000002</v>
      </c>
      <c r="I215" s="10">
        <v>324.8</v>
      </c>
      <c r="J215" s="10">
        <v>313.47000000000003</v>
      </c>
      <c r="K215" s="14">
        <v>-1.8E-3</v>
      </c>
      <c r="L215" s="12">
        <v>86108</v>
      </c>
      <c r="M215" s="18"/>
      <c r="N215" s="18"/>
      <c r="O215" s="18"/>
    </row>
    <row r="216" spans="1:15" ht="15" thickBot="1" x14ac:dyDescent="0.4">
      <c r="A216" s="5">
        <v>45729</v>
      </c>
      <c r="B216" s="20" t="str">
        <f>TEXT(Table1[[#This Row],[Date]],"dddd")</f>
        <v>Thursday</v>
      </c>
      <c r="C216" s="20" t="str">
        <f>TEXT(Table1[[#This Row],[Date]],"mmmm")</f>
        <v>March</v>
      </c>
      <c r="D216" s="20" t="str">
        <f>"Q"&amp;ROUNDUP(MONTH(Table1[[#This Row],[Date]])/3,0)</f>
        <v>Q1</v>
      </c>
      <c r="E216" s="20" t="str">
        <f>TEXT(Table1[[#This Row],[Date]],"yyyy")</f>
        <v>2025</v>
      </c>
      <c r="F216" s="6">
        <v>325.5</v>
      </c>
      <c r="G216" s="6">
        <v>327.8</v>
      </c>
      <c r="H216" s="6">
        <v>324.7</v>
      </c>
      <c r="I216" s="6">
        <v>325.39999999999998</v>
      </c>
      <c r="J216" s="6">
        <v>314.05</v>
      </c>
      <c r="K216" s="13">
        <v>-2.9999999999999997E-4</v>
      </c>
      <c r="L216" s="8">
        <v>82422</v>
      </c>
      <c r="M216" s="17"/>
      <c r="N216" s="17"/>
      <c r="O216" s="17"/>
    </row>
    <row r="217" spans="1:15" ht="15" thickBot="1" x14ac:dyDescent="0.4">
      <c r="A217" s="9">
        <v>45728</v>
      </c>
      <c r="B217" s="21" t="str">
        <f>TEXT(Table1[[#This Row],[Date]],"dddd")</f>
        <v>Wednesday</v>
      </c>
      <c r="C217" s="21" t="str">
        <f>TEXT(Table1[[#This Row],[Date]],"mmmm")</f>
        <v>March</v>
      </c>
      <c r="D217" s="21" t="str">
        <f>"Q"&amp;ROUNDUP(MONTH(Table1[[#This Row],[Date]])/3,0)</f>
        <v>Q1</v>
      </c>
      <c r="E217" s="21" t="str">
        <f>TEXT(Table1[[#This Row],[Date]],"yyyy")</f>
        <v>2025</v>
      </c>
      <c r="F217" s="10">
        <v>326.5</v>
      </c>
      <c r="G217" s="10">
        <v>326.5</v>
      </c>
      <c r="H217" s="10">
        <v>325</v>
      </c>
      <c r="I217" s="10">
        <v>325.5</v>
      </c>
      <c r="J217" s="10">
        <v>314.14</v>
      </c>
      <c r="K217" s="11">
        <v>1.8E-3</v>
      </c>
      <c r="L217" s="12">
        <v>43084</v>
      </c>
      <c r="M217" s="18"/>
      <c r="N217" s="18"/>
      <c r="O217" s="18"/>
    </row>
    <row r="218" spans="1:15" ht="15" thickBot="1" x14ac:dyDescent="0.4">
      <c r="A218" s="5">
        <v>45727</v>
      </c>
      <c r="B218" s="20" t="str">
        <f>TEXT(Table1[[#This Row],[Date]],"dddd")</f>
        <v>Tuesday</v>
      </c>
      <c r="C218" s="20" t="str">
        <f>TEXT(Table1[[#This Row],[Date]],"mmmm")</f>
        <v>March</v>
      </c>
      <c r="D218" s="20" t="str">
        <f>"Q"&amp;ROUNDUP(MONTH(Table1[[#This Row],[Date]])/3,0)</f>
        <v>Q1</v>
      </c>
      <c r="E218" s="20" t="str">
        <f>TEXT(Table1[[#This Row],[Date]],"yyyy")</f>
        <v>2025</v>
      </c>
      <c r="F218" s="6">
        <v>326.8</v>
      </c>
      <c r="G218" s="6">
        <v>330</v>
      </c>
      <c r="H218" s="6">
        <v>324.2</v>
      </c>
      <c r="I218" s="6">
        <v>324.89999999999998</v>
      </c>
      <c r="J218" s="6">
        <v>313.57</v>
      </c>
      <c r="K218" s="13">
        <v>-5.7999999999999996E-3</v>
      </c>
      <c r="L218" s="8">
        <v>65750</v>
      </c>
      <c r="M218" s="17"/>
      <c r="N218" s="17"/>
      <c r="O218" s="17"/>
    </row>
    <row r="219" spans="1:15" ht="15" thickBot="1" x14ac:dyDescent="0.4">
      <c r="A219" s="9">
        <v>45726</v>
      </c>
      <c r="B219" s="21" t="str">
        <f>TEXT(Table1[[#This Row],[Date]],"dddd")</f>
        <v>Monday</v>
      </c>
      <c r="C219" s="21" t="str">
        <f>TEXT(Table1[[#This Row],[Date]],"mmmm")</f>
        <v>March</v>
      </c>
      <c r="D219" s="21" t="str">
        <f>"Q"&amp;ROUNDUP(MONTH(Table1[[#This Row],[Date]])/3,0)</f>
        <v>Q1</v>
      </c>
      <c r="E219" s="21" t="str">
        <f>TEXT(Table1[[#This Row],[Date]],"yyyy")</f>
        <v>2025</v>
      </c>
      <c r="F219" s="10">
        <v>323.5</v>
      </c>
      <c r="G219" s="10">
        <v>331</v>
      </c>
      <c r="H219" s="10">
        <v>322.89999999999998</v>
      </c>
      <c r="I219" s="10">
        <v>326.8</v>
      </c>
      <c r="J219" s="10">
        <v>315.39999999999998</v>
      </c>
      <c r="K219" s="11">
        <v>8.9999999999999993E-3</v>
      </c>
      <c r="L219" s="12">
        <v>189477</v>
      </c>
      <c r="M219" s="18"/>
      <c r="N219" s="18"/>
      <c r="O219" s="18"/>
    </row>
    <row r="220" spans="1:15" ht="15" thickBot="1" x14ac:dyDescent="0.4">
      <c r="A220" s="5">
        <v>45725</v>
      </c>
      <c r="B220" s="20" t="str">
        <f>TEXT(Table1[[#This Row],[Date]],"dddd")</f>
        <v>Sunday</v>
      </c>
      <c r="C220" s="20" t="str">
        <f>TEXT(Table1[[#This Row],[Date]],"mmmm")</f>
        <v>March</v>
      </c>
      <c r="D220" s="20" t="str">
        <f>"Q"&amp;ROUNDUP(MONTH(Table1[[#This Row],[Date]])/3,0)</f>
        <v>Q1</v>
      </c>
      <c r="E220" s="20" t="str">
        <f>TEXT(Table1[[#This Row],[Date]],"yyyy")</f>
        <v>2025</v>
      </c>
      <c r="F220" s="6">
        <v>325</v>
      </c>
      <c r="G220" s="6">
        <v>325</v>
      </c>
      <c r="H220" s="6">
        <v>323.39999999999998</v>
      </c>
      <c r="I220" s="6">
        <v>323.89999999999998</v>
      </c>
      <c r="J220" s="6">
        <v>312.60000000000002</v>
      </c>
      <c r="K220" s="13">
        <v>-2.8E-3</v>
      </c>
      <c r="L220" s="8">
        <v>57078</v>
      </c>
      <c r="M220" s="17"/>
      <c r="N220" s="17"/>
      <c r="O220" s="17"/>
    </row>
    <row r="221" spans="1:15" ht="15" thickBot="1" x14ac:dyDescent="0.4">
      <c r="A221" s="9">
        <v>45722</v>
      </c>
      <c r="B221" s="21" t="str">
        <f>TEXT(Table1[[#This Row],[Date]],"dddd")</f>
        <v>Thursday</v>
      </c>
      <c r="C221" s="21" t="str">
        <f>TEXT(Table1[[#This Row],[Date]],"mmmm")</f>
        <v>March</v>
      </c>
      <c r="D221" s="21" t="str">
        <f>"Q"&amp;ROUNDUP(MONTH(Table1[[#This Row],[Date]])/3,0)</f>
        <v>Q1</v>
      </c>
      <c r="E221" s="21" t="str">
        <f>TEXT(Table1[[#This Row],[Date]],"yyyy")</f>
        <v>2025</v>
      </c>
      <c r="F221" s="10">
        <v>325.39999999999998</v>
      </c>
      <c r="G221" s="10">
        <v>325.5</v>
      </c>
      <c r="H221" s="10">
        <v>324.3</v>
      </c>
      <c r="I221" s="10">
        <v>324.8</v>
      </c>
      <c r="J221" s="10">
        <v>313.47000000000003</v>
      </c>
      <c r="K221" s="14">
        <v>-1.5E-3</v>
      </c>
      <c r="L221" s="12">
        <v>84006</v>
      </c>
      <c r="M221" s="18"/>
      <c r="N221" s="18"/>
      <c r="O221" s="18"/>
    </row>
    <row r="222" spans="1:15" ht="15" thickBot="1" x14ac:dyDescent="0.4">
      <c r="A222" s="5">
        <v>45721</v>
      </c>
      <c r="B222" s="20" t="str">
        <f>TEXT(Table1[[#This Row],[Date]],"dddd")</f>
        <v>Wednesday</v>
      </c>
      <c r="C222" s="20" t="str">
        <f>TEXT(Table1[[#This Row],[Date]],"mmmm")</f>
        <v>March</v>
      </c>
      <c r="D222" s="20" t="str">
        <f>"Q"&amp;ROUNDUP(MONTH(Table1[[#This Row],[Date]])/3,0)</f>
        <v>Q1</v>
      </c>
      <c r="E222" s="20" t="str">
        <f>TEXT(Table1[[#This Row],[Date]],"yyyy")</f>
        <v>2025</v>
      </c>
      <c r="F222" s="6">
        <v>325.5</v>
      </c>
      <c r="G222" s="6">
        <v>326.7</v>
      </c>
      <c r="H222" s="6">
        <v>325</v>
      </c>
      <c r="I222" s="6">
        <v>325.3</v>
      </c>
      <c r="J222" s="6">
        <v>313.95</v>
      </c>
      <c r="K222" s="13">
        <v>-2.9999999999999997E-4</v>
      </c>
      <c r="L222" s="8">
        <v>55471</v>
      </c>
      <c r="M222" s="17"/>
      <c r="N222" s="17"/>
      <c r="O222" s="17"/>
    </row>
    <row r="223" spans="1:15" ht="15" thickBot="1" x14ac:dyDescent="0.4">
      <c r="A223" s="9">
        <v>45720</v>
      </c>
      <c r="B223" s="21" t="str">
        <f>TEXT(Table1[[#This Row],[Date]],"dddd")</f>
        <v>Tuesday</v>
      </c>
      <c r="C223" s="21" t="str">
        <f>TEXT(Table1[[#This Row],[Date]],"mmmm")</f>
        <v>March</v>
      </c>
      <c r="D223" s="21" t="str">
        <f>"Q"&amp;ROUNDUP(MONTH(Table1[[#This Row],[Date]])/3,0)</f>
        <v>Q1</v>
      </c>
      <c r="E223" s="21" t="str">
        <f>TEXT(Table1[[#This Row],[Date]],"yyyy")</f>
        <v>2025</v>
      </c>
      <c r="F223" s="10">
        <v>327.10000000000002</v>
      </c>
      <c r="G223" s="10">
        <v>327.5</v>
      </c>
      <c r="H223" s="10">
        <v>325</v>
      </c>
      <c r="I223" s="10">
        <v>325.39999999999998</v>
      </c>
      <c r="J223" s="10">
        <v>314.05</v>
      </c>
      <c r="K223" s="14">
        <v>-4.5999999999999999E-3</v>
      </c>
      <c r="L223" s="12">
        <v>108861</v>
      </c>
      <c r="M223" s="18"/>
      <c r="N223" s="18"/>
      <c r="O223" s="18"/>
    </row>
    <row r="224" spans="1:15" ht="15" thickBot="1" x14ac:dyDescent="0.4">
      <c r="A224" s="5">
        <v>45719</v>
      </c>
      <c r="B224" s="20" t="str">
        <f>TEXT(Table1[[#This Row],[Date]],"dddd")</f>
        <v>Monday</v>
      </c>
      <c r="C224" s="20" t="str">
        <f>TEXT(Table1[[#This Row],[Date]],"mmmm")</f>
        <v>March</v>
      </c>
      <c r="D224" s="20" t="str">
        <f>"Q"&amp;ROUNDUP(MONTH(Table1[[#This Row],[Date]])/3,0)</f>
        <v>Q1</v>
      </c>
      <c r="E224" s="20" t="str">
        <f>TEXT(Table1[[#This Row],[Date]],"yyyy")</f>
        <v>2025</v>
      </c>
      <c r="F224" s="6">
        <v>325</v>
      </c>
      <c r="G224" s="6">
        <v>327.8</v>
      </c>
      <c r="H224" s="6">
        <v>324</v>
      </c>
      <c r="I224" s="6">
        <v>326.89999999999998</v>
      </c>
      <c r="J224" s="6">
        <v>315.5</v>
      </c>
      <c r="K224" s="7">
        <v>6.1999999999999998E-3</v>
      </c>
      <c r="L224" s="8">
        <v>136978</v>
      </c>
      <c r="M224" s="17"/>
      <c r="N224" s="17"/>
      <c r="O224" s="17"/>
    </row>
    <row r="225" spans="1:15" ht="15" thickBot="1" x14ac:dyDescent="0.4">
      <c r="A225" s="9">
        <v>45718</v>
      </c>
      <c r="B225" s="21" t="str">
        <f>TEXT(Table1[[#This Row],[Date]],"dddd")</f>
        <v>Sunday</v>
      </c>
      <c r="C225" s="21" t="str">
        <f>TEXT(Table1[[#This Row],[Date]],"mmmm")</f>
        <v>March</v>
      </c>
      <c r="D225" s="21" t="str">
        <f>"Q"&amp;ROUNDUP(MONTH(Table1[[#This Row],[Date]])/3,0)</f>
        <v>Q1</v>
      </c>
      <c r="E225" s="21" t="str">
        <f>TEXT(Table1[[#This Row],[Date]],"yyyy")</f>
        <v>2025</v>
      </c>
      <c r="F225" s="10">
        <v>327.39999999999998</v>
      </c>
      <c r="G225" s="10">
        <v>328.8</v>
      </c>
      <c r="H225" s="10">
        <v>323</v>
      </c>
      <c r="I225" s="10">
        <v>324.89999999999998</v>
      </c>
      <c r="J225" s="10">
        <v>313.57</v>
      </c>
      <c r="K225" s="14">
        <v>-1.01E-2</v>
      </c>
      <c r="L225" s="12">
        <v>120276</v>
      </c>
      <c r="M225" s="18"/>
      <c r="N225" s="18"/>
      <c r="O225" s="18"/>
    </row>
    <row r="226" spans="1:15" ht="15" thickBot="1" x14ac:dyDescent="0.4">
      <c r="A226" s="5">
        <v>45715</v>
      </c>
      <c r="B226" s="20" t="str">
        <f>TEXT(Table1[[#This Row],[Date]],"dddd")</f>
        <v>Thursday</v>
      </c>
      <c r="C226" s="20" t="str">
        <f>TEXT(Table1[[#This Row],[Date]],"mmmm")</f>
        <v>February</v>
      </c>
      <c r="D226" s="20" t="str">
        <f>"Q"&amp;ROUNDUP(MONTH(Table1[[#This Row],[Date]])/3,0)</f>
        <v>Q1</v>
      </c>
      <c r="E226" s="20" t="str">
        <f>TEXT(Table1[[#This Row],[Date]],"yyyy")</f>
        <v>2025</v>
      </c>
      <c r="F226" s="6">
        <v>331</v>
      </c>
      <c r="G226" s="6">
        <v>333</v>
      </c>
      <c r="H226" s="6">
        <v>325</v>
      </c>
      <c r="I226" s="6">
        <v>328.2</v>
      </c>
      <c r="J226" s="6">
        <v>316.75</v>
      </c>
      <c r="K226" s="13">
        <v>-4.6199999999999998E-2</v>
      </c>
      <c r="L226" s="8">
        <v>201281</v>
      </c>
      <c r="M226" s="17"/>
      <c r="N226" s="17"/>
      <c r="O226" s="17"/>
    </row>
    <row r="227" spans="1:15" ht="15" thickBot="1" x14ac:dyDescent="0.4">
      <c r="A227" s="9">
        <v>45713</v>
      </c>
      <c r="B227" s="21" t="str">
        <f>TEXT(Table1[[#This Row],[Date]],"dddd")</f>
        <v>Tuesday</v>
      </c>
      <c r="C227" s="21" t="str">
        <f>TEXT(Table1[[#This Row],[Date]],"mmmm")</f>
        <v>February</v>
      </c>
      <c r="D227" s="21" t="str">
        <f>"Q"&amp;ROUNDUP(MONTH(Table1[[#This Row],[Date]])/3,0)</f>
        <v>Q1</v>
      </c>
      <c r="E227" s="21" t="str">
        <f>TEXT(Table1[[#This Row],[Date]],"yyyy")</f>
        <v>2025</v>
      </c>
      <c r="F227" s="10">
        <v>345</v>
      </c>
      <c r="G227" s="10">
        <v>345.1</v>
      </c>
      <c r="H227" s="10">
        <v>342</v>
      </c>
      <c r="I227" s="10">
        <v>344.1</v>
      </c>
      <c r="J227" s="10">
        <v>315.69</v>
      </c>
      <c r="K227" s="14">
        <v>-2.3E-3</v>
      </c>
      <c r="L227" s="12">
        <v>620471</v>
      </c>
      <c r="M227" s="18"/>
      <c r="N227" s="18"/>
      <c r="O227" s="18"/>
    </row>
    <row r="228" spans="1:15" ht="15" thickBot="1" x14ac:dyDescent="0.4">
      <c r="A228" s="5">
        <v>45712</v>
      </c>
      <c r="B228" s="20" t="str">
        <f>TEXT(Table1[[#This Row],[Date]],"dddd")</f>
        <v>Monday</v>
      </c>
      <c r="C228" s="20" t="str">
        <f>TEXT(Table1[[#This Row],[Date]],"mmmm")</f>
        <v>February</v>
      </c>
      <c r="D228" s="20" t="str">
        <f>"Q"&amp;ROUNDUP(MONTH(Table1[[#This Row],[Date]])/3,0)</f>
        <v>Q1</v>
      </c>
      <c r="E228" s="20" t="str">
        <f>TEXT(Table1[[#This Row],[Date]],"yyyy")</f>
        <v>2025</v>
      </c>
      <c r="F228" s="6">
        <v>346</v>
      </c>
      <c r="G228" s="6">
        <v>347</v>
      </c>
      <c r="H228" s="6">
        <v>344.5</v>
      </c>
      <c r="I228" s="6">
        <v>344.9</v>
      </c>
      <c r="J228" s="6">
        <v>316.42</v>
      </c>
      <c r="K228" s="13">
        <v>-4.3E-3</v>
      </c>
      <c r="L228" s="8">
        <v>220604</v>
      </c>
      <c r="M228" s="17"/>
      <c r="N228" s="17"/>
      <c r="O228" s="17"/>
    </row>
    <row r="229" spans="1:15" ht="15" thickBot="1" x14ac:dyDescent="0.4">
      <c r="A229" s="9">
        <v>45711</v>
      </c>
      <c r="B229" s="21" t="str">
        <f>TEXT(Table1[[#This Row],[Date]],"dddd")</f>
        <v>Sunday</v>
      </c>
      <c r="C229" s="21" t="str">
        <f>TEXT(Table1[[#This Row],[Date]],"mmmm")</f>
        <v>February</v>
      </c>
      <c r="D229" s="21" t="str">
        <f>"Q"&amp;ROUNDUP(MONTH(Table1[[#This Row],[Date]])/3,0)</f>
        <v>Q1</v>
      </c>
      <c r="E229" s="21" t="str">
        <f>TEXT(Table1[[#This Row],[Date]],"yyyy")</f>
        <v>2025</v>
      </c>
      <c r="F229" s="10">
        <v>345.7</v>
      </c>
      <c r="G229" s="10">
        <v>347.6</v>
      </c>
      <c r="H229" s="10">
        <v>343</v>
      </c>
      <c r="I229" s="10">
        <v>346.4</v>
      </c>
      <c r="J229" s="10">
        <v>317.8</v>
      </c>
      <c r="K229" s="11">
        <v>2E-3</v>
      </c>
      <c r="L229" s="12">
        <v>669057</v>
      </c>
      <c r="M229" s="18"/>
      <c r="N229" s="18"/>
      <c r="O229" s="18"/>
    </row>
    <row r="230" spans="1:15" ht="15" thickBot="1" x14ac:dyDescent="0.4">
      <c r="A230" s="5">
        <v>45708</v>
      </c>
      <c r="B230" s="20" t="str">
        <f>TEXT(Table1[[#This Row],[Date]],"dddd")</f>
        <v>Thursday</v>
      </c>
      <c r="C230" s="20" t="str">
        <f>TEXT(Table1[[#This Row],[Date]],"mmmm")</f>
        <v>February</v>
      </c>
      <c r="D230" s="20" t="str">
        <f>"Q"&amp;ROUNDUP(MONTH(Table1[[#This Row],[Date]])/3,0)</f>
        <v>Q1</v>
      </c>
      <c r="E230" s="20" t="str">
        <f>TEXT(Table1[[#This Row],[Date]],"yyyy")</f>
        <v>2025</v>
      </c>
      <c r="F230" s="6">
        <v>343.2</v>
      </c>
      <c r="G230" s="6">
        <v>347</v>
      </c>
      <c r="H230" s="6">
        <v>341.7</v>
      </c>
      <c r="I230" s="6">
        <v>345.7</v>
      </c>
      <c r="J230" s="6">
        <v>317.16000000000003</v>
      </c>
      <c r="K230" s="7">
        <v>5.7999999999999996E-3</v>
      </c>
      <c r="L230" s="8">
        <v>476692</v>
      </c>
      <c r="M230" s="17"/>
      <c r="N230" s="17"/>
      <c r="O230" s="17"/>
    </row>
    <row r="231" spans="1:15" ht="15" thickBot="1" x14ac:dyDescent="0.4">
      <c r="A231" s="9">
        <v>45707</v>
      </c>
      <c r="B231" s="21" t="str">
        <f>TEXT(Table1[[#This Row],[Date]],"dddd")</f>
        <v>Wednesday</v>
      </c>
      <c r="C231" s="21" t="str">
        <f>TEXT(Table1[[#This Row],[Date]],"mmmm")</f>
        <v>February</v>
      </c>
      <c r="D231" s="21" t="str">
        <f>"Q"&amp;ROUNDUP(MONTH(Table1[[#This Row],[Date]])/3,0)</f>
        <v>Q1</v>
      </c>
      <c r="E231" s="21" t="str">
        <f>TEXT(Table1[[#This Row],[Date]],"yyyy")</f>
        <v>2025</v>
      </c>
      <c r="F231" s="10">
        <v>343.7</v>
      </c>
      <c r="G231" s="10">
        <v>344.8</v>
      </c>
      <c r="H231" s="10">
        <v>340.8</v>
      </c>
      <c r="I231" s="10">
        <v>343.7</v>
      </c>
      <c r="J231" s="10">
        <v>315.32</v>
      </c>
      <c r="K231" s="14">
        <v>-2.9999999999999997E-4</v>
      </c>
      <c r="L231" s="12">
        <v>355635</v>
      </c>
      <c r="M231" s="18"/>
      <c r="N231" s="18"/>
      <c r="O231" s="18"/>
    </row>
    <row r="232" spans="1:15" ht="15" thickBot="1" x14ac:dyDescent="0.4">
      <c r="A232" s="5">
        <v>45706</v>
      </c>
      <c r="B232" s="20" t="str">
        <f>TEXT(Table1[[#This Row],[Date]],"dddd")</f>
        <v>Tuesday</v>
      </c>
      <c r="C232" s="20" t="str">
        <f>TEXT(Table1[[#This Row],[Date]],"mmmm")</f>
        <v>February</v>
      </c>
      <c r="D232" s="20" t="str">
        <f>"Q"&amp;ROUNDUP(MONTH(Table1[[#This Row],[Date]])/3,0)</f>
        <v>Q1</v>
      </c>
      <c r="E232" s="20" t="str">
        <f>TEXT(Table1[[#This Row],[Date]],"yyyy")</f>
        <v>2025</v>
      </c>
      <c r="F232" s="6">
        <v>347.9</v>
      </c>
      <c r="G232" s="6">
        <v>347.9</v>
      </c>
      <c r="H232" s="6">
        <v>342.7</v>
      </c>
      <c r="I232" s="6">
        <v>343.8</v>
      </c>
      <c r="J232" s="6">
        <v>315.41000000000003</v>
      </c>
      <c r="K232" s="13">
        <v>-5.7999999999999996E-3</v>
      </c>
      <c r="L232" s="8">
        <v>421025</v>
      </c>
      <c r="M232" s="17"/>
      <c r="N232" s="17"/>
      <c r="O232" s="17"/>
    </row>
    <row r="233" spans="1:15" ht="15" thickBot="1" x14ac:dyDescent="0.4">
      <c r="A233" s="9">
        <v>45705</v>
      </c>
      <c r="B233" s="21" t="str">
        <f>TEXT(Table1[[#This Row],[Date]],"dddd")</f>
        <v>Monday</v>
      </c>
      <c r="C233" s="21" t="str">
        <f>TEXT(Table1[[#This Row],[Date]],"mmmm")</f>
        <v>February</v>
      </c>
      <c r="D233" s="21" t="str">
        <f>"Q"&amp;ROUNDUP(MONTH(Table1[[#This Row],[Date]])/3,0)</f>
        <v>Q1</v>
      </c>
      <c r="E233" s="21" t="str">
        <f>TEXT(Table1[[#This Row],[Date]],"yyyy")</f>
        <v>2025</v>
      </c>
      <c r="F233" s="10">
        <v>341</v>
      </c>
      <c r="G233" s="10">
        <v>346.5</v>
      </c>
      <c r="H233" s="10">
        <v>341</v>
      </c>
      <c r="I233" s="10">
        <v>345.8</v>
      </c>
      <c r="J233" s="10">
        <v>317.25</v>
      </c>
      <c r="K233" s="11">
        <v>1.5299999999999999E-2</v>
      </c>
      <c r="L233" s="12">
        <v>1171546</v>
      </c>
      <c r="M233" s="18"/>
      <c r="N233" s="18"/>
      <c r="O233" s="18"/>
    </row>
    <row r="234" spans="1:15" ht="15" thickBot="1" x14ac:dyDescent="0.4">
      <c r="A234" s="5">
        <v>45704</v>
      </c>
      <c r="B234" s="20" t="str">
        <f>TEXT(Table1[[#This Row],[Date]],"dddd")</f>
        <v>Sunday</v>
      </c>
      <c r="C234" s="20" t="str">
        <f>TEXT(Table1[[#This Row],[Date]],"mmmm")</f>
        <v>February</v>
      </c>
      <c r="D234" s="20" t="str">
        <f>"Q"&amp;ROUNDUP(MONTH(Table1[[#This Row],[Date]])/3,0)</f>
        <v>Q1</v>
      </c>
      <c r="E234" s="20" t="str">
        <f>TEXT(Table1[[#This Row],[Date]],"yyyy")</f>
        <v>2025</v>
      </c>
      <c r="F234" s="6">
        <v>339.9</v>
      </c>
      <c r="G234" s="6">
        <v>341.8</v>
      </c>
      <c r="H234" s="6">
        <v>338.3</v>
      </c>
      <c r="I234" s="6">
        <v>340.6</v>
      </c>
      <c r="J234" s="6">
        <v>312.48</v>
      </c>
      <c r="K234" s="7">
        <v>5.8999999999999999E-3</v>
      </c>
      <c r="L234" s="8">
        <v>387159</v>
      </c>
      <c r="M234" s="17"/>
      <c r="N234" s="17"/>
      <c r="O234" s="17"/>
    </row>
    <row r="235" spans="1:15" ht="15" thickBot="1" x14ac:dyDescent="0.4">
      <c r="A235" s="9">
        <v>45701</v>
      </c>
      <c r="B235" s="21" t="str">
        <f>TEXT(Table1[[#This Row],[Date]],"dddd")</f>
        <v>Thursday</v>
      </c>
      <c r="C235" s="21" t="str">
        <f>TEXT(Table1[[#This Row],[Date]],"mmmm")</f>
        <v>February</v>
      </c>
      <c r="D235" s="21" t="str">
        <f>"Q"&amp;ROUNDUP(MONTH(Table1[[#This Row],[Date]])/3,0)</f>
        <v>Q1</v>
      </c>
      <c r="E235" s="21" t="str">
        <f>TEXT(Table1[[#This Row],[Date]],"yyyy")</f>
        <v>2025</v>
      </c>
      <c r="F235" s="10">
        <v>336.1</v>
      </c>
      <c r="G235" s="10">
        <v>339.4</v>
      </c>
      <c r="H235" s="10">
        <v>336.1</v>
      </c>
      <c r="I235" s="10">
        <v>338.6</v>
      </c>
      <c r="J235" s="10">
        <v>310.64</v>
      </c>
      <c r="K235" s="11">
        <v>5.0000000000000001E-3</v>
      </c>
      <c r="L235" s="12">
        <v>159622</v>
      </c>
      <c r="M235" s="18"/>
      <c r="N235" s="18"/>
      <c r="O235" s="18"/>
    </row>
    <row r="236" spans="1:15" ht="15" thickBot="1" x14ac:dyDescent="0.4">
      <c r="A236" s="5">
        <v>45700</v>
      </c>
      <c r="B236" s="20" t="str">
        <f>TEXT(Table1[[#This Row],[Date]],"dddd")</f>
        <v>Wednesday</v>
      </c>
      <c r="C236" s="20" t="str">
        <f>TEXT(Table1[[#This Row],[Date]],"mmmm")</f>
        <v>February</v>
      </c>
      <c r="D236" s="20" t="str">
        <f>"Q"&amp;ROUNDUP(MONTH(Table1[[#This Row],[Date]])/3,0)</f>
        <v>Q1</v>
      </c>
      <c r="E236" s="20" t="str">
        <f>TEXT(Table1[[#This Row],[Date]],"yyyy")</f>
        <v>2025</v>
      </c>
      <c r="F236" s="6">
        <v>336.6</v>
      </c>
      <c r="G236" s="6">
        <v>337.4</v>
      </c>
      <c r="H236" s="6">
        <v>336.6</v>
      </c>
      <c r="I236" s="6">
        <v>336.9</v>
      </c>
      <c r="J236" s="6">
        <v>309.08</v>
      </c>
      <c r="K236" s="13">
        <v>-5.9999999999999995E-4</v>
      </c>
      <c r="L236" s="8">
        <v>155791</v>
      </c>
      <c r="M236" s="17"/>
      <c r="N236" s="17"/>
      <c r="O236" s="17"/>
    </row>
    <row r="237" spans="1:15" ht="15" thickBot="1" x14ac:dyDescent="0.4">
      <c r="A237" s="9">
        <v>45699</v>
      </c>
      <c r="B237" s="21" t="str">
        <f>TEXT(Table1[[#This Row],[Date]],"dddd")</f>
        <v>Tuesday</v>
      </c>
      <c r="C237" s="21" t="str">
        <f>TEXT(Table1[[#This Row],[Date]],"mmmm")</f>
        <v>February</v>
      </c>
      <c r="D237" s="21" t="str">
        <f>"Q"&amp;ROUNDUP(MONTH(Table1[[#This Row],[Date]])/3,0)</f>
        <v>Q1</v>
      </c>
      <c r="E237" s="21" t="str">
        <f>TEXT(Table1[[#This Row],[Date]],"yyyy")</f>
        <v>2025</v>
      </c>
      <c r="F237" s="10">
        <v>338</v>
      </c>
      <c r="G237" s="10">
        <v>338</v>
      </c>
      <c r="H237" s="10">
        <v>336</v>
      </c>
      <c r="I237" s="10">
        <v>337.1</v>
      </c>
      <c r="J237" s="10">
        <v>309.27</v>
      </c>
      <c r="K237" s="14">
        <v>-1.5E-3</v>
      </c>
      <c r="L237" s="12">
        <v>66921</v>
      </c>
      <c r="M237" s="18"/>
      <c r="N237" s="18"/>
      <c r="O237" s="18"/>
    </row>
    <row r="238" spans="1:15" ht="15" thickBot="1" x14ac:dyDescent="0.4">
      <c r="A238" s="5">
        <v>45698</v>
      </c>
      <c r="B238" s="20" t="str">
        <f>TEXT(Table1[[#This Row],[Date]],"dddd")</f>
        <v>Monday</v>
      </c>
      <c r="C238" s="20" t="str">
        <f>TEXT(Table1[[#This Row],[Date]],"mmmm")</f>
        <v>February</v>
      </c>
      <c r="D238" s="20" t="str">
        <f>"Q"&amp;ROUNDUP(MONTH(Table1[[#This Row],[Date]])/3,0)</f>
        <v>Q1</v>
      </c>
      <c r="E238" s="20" t="str">
        <f>TEXT(Table1[[#This Row],[Date]],"yyyy")</f>
        <v>2025</v>
      </c>
      <c r="F238" s="6">
        <v>339.5</v>
      </c>
      <c r="G238" s="6">
        <v>339.5</v>
      </c>
      <c r="H238" s="6">
        <v>335.8</v>
      </c>
      <c r="I238" s="6">
        <v>337.6</v>
      </c>
      <c r="J238" s="6">
        <v>309.73</v>
      </c>
      <c r="K238" s="7">
        <v>3.0000000000000001E-3</v>
      </c>
      <c r="L238" s="8">
        <v>158751</v>
      </c>
      <c r="M238" s="17"/>
      <c r="N238" s="17"/>
      <c r="O238" s="17"/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Mahmudul Hasan Sany</dc:creator>
  <cp:lastModifiedBy>Mahmudul Hasan Sany</cp:lastModifiedBy>
  <dcterms:created xsi:type="dcterms:W3CDTF">2015-06-05T18:17:20Z</dcterms:created>
  <dcterms:modified xsi:type="dcterms:W3CDTF">2026-02-11T17:46:09Z</dcterms:modified>
</cp:coreProperties>
</file>